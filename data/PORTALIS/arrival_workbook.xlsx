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2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04.bridge\03. GMDSS\01. Port Documents\54. 25.03.2026--Sabine_Pass_USA\CrewData\"/>
    </mc:Choice>
  </mc:AlternateContent>
  <xr:revisionPtr revIDLastSave="0" documentId="13_ncr:1_{C30A0676-C39A-4875-8EEC-3E813B23680B}" xr6:coauthVersionLast="36" xr6:coauthVersionMax="36" xr10:uidLastSave="{00000000-0000-0000-0000-000000000000}"/>
  <bookViews>
    <workbookView xWindow="0" yWindow="0" windowWidth="23040" windowHeight="9015" tabRatio="849" firstSheet="8" activeTab="15" xr2:uid="{00000000-000D-0000-FFFF-FFFF00000000}"/>
  </bookViews>
  <sheets>
    <sheet name="M.Menu" sheetId="2" r:id="rId1"/>
    <sheet name="DataBase (IMO form)" sheetId="3" r:id="rId2"/>
    <sheet name="Arr Crew List IMO" sheetId="225" r:id="rId3"/>
    <sheet name="Arr Crew List Port" sheetId="249" r:id="rId4"/>
    <sheet name="Arr Crew List National SB" sheetId="256" r:id="rId5"/>
    <sheet name="Arr Crew List Marshall SB" sheetId="257" r:id="rId6"/>
    <sheet name="Dep CrewList IMO" sheetId="228" r:id="rId7"/>
    <sheet name="MDoH" sheetId="236" r:id="rId8"/>
    <sheet name="MDoH Att_1" sheetId="248" r:id="rId9"/>
    <sheet name="Narcotics" sheetId="206" r:id="rId10"/>
    <sheet name="Passenger List IMO" sheetId="252" r:id="rId11"/>
    <sheet name="ListofPort" sheetId="243" r:id="rId12"/>
    <sheet name="List of Last 10 Port of Calls" sheetId="245" r:id="rId13"/>
    <sheet name="NIL-List" sheetId="253" r:id="rId14"/>
    <sheet name="NIL-Cargo manifest" sheetId="182" r:id="rId15"/>
    <sheet name="Crew Effect Declaration" sheetId="250" r:id="rId16"/>
    <sheet name="CrewMoneyDec" sheetId="117" r:id="rId17"/>
    <sheet name="ShipsMoneyDec Arr" sheetId="118" r:id="rId18"/>
    <sheet name="Bonded Store" sheetId="233" r:id="rId19"/>
    <sheet name="Ships Stores Declaration" sheetId="178" r:id="rId20"/>
    <sheet name="Vaccine Yellow Fever" sheetId="255" r:id="rId21"/>
    <sheet name="ShipsProps" sheetId="125" r:id="rId22"/>
    <sheet name="Arm&amp;Ammu" sheetId="131" r:id="rId23"/>
    <sheet name="Dangerous Good Manifest IMO " sheetId="137" r:id="rId24"/>
    <sheet name="Covid Vaccine" sheetId="239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16_Aug_2014" localSheetId="5">M.Menu!#REF!</definedName>
    <definedName name="_16_Aug_2014" localSheetId="4">M.Menu!#REF!</definedName>
    <definedName name="_16_Aug_2014" localSheetId="18">'[1]ISPS csv File Definition'!$L$13</definedName>
    <definedName name="_16_Aug_2014" localSheetId="20">M.Menu!#REF!</definedName>
    <definedName name="_16_Aug_2014">M.Menu!#REF!</definedName>
    <definedName name="_Fill" localSheetId="2" hidden="1">#REF!</definedName>
    <definedName name="_Fill" localSheetId="5" hidden="1">#REF!</definedName>
    <definedName name="_Fill" localSheetId="4" hidden="1">#REF!</definedName>
    <definedName name="_Fill" localSheetId="3" hidden="1">#REF!</definedName>
    <definedName name="_Fill" localSheetId="6" hidden="1">#REF!</definedName>
    <definedName name="_Fill" localSheetId="9" hidden="1">#REF!</definedName>
    <definedName name="_Fill" localSheetId="13" hidden="1">#REF!</definedName>
    <definedName name="_Fill" localSheetId="20" hidden="1">#REF!</definedName>
    <definedName name="_xlnm._FilterDatabase" localSheetId="2" hidden="1">#REF!</definedName>
    <definedName name="_xlnm._FilterDatabase" localSheetId="5" hidden="1">#REF!</definedName>
    <definedName name="_xlnm._FilterDatabase" localSheetId="4" hidden="1">#REF!</definedName>
    <definedName name="_xlnm._FilterDatabase" localSheetId="3" hidden="1">#REF!</definedName>
    <definedName name="_xlnm._FilterDatabase" localSheetId="18" hidden="1">#REF!</definedName>
    <definedName name="_xlnm._FilterDatabase" localSheetId="6" hidden="1">#REF!</definedName>
    <definedName name="_xlnm._FilterDatabase" localSheetId="12" hidden="1">#REF!</definedName>
    <definedName name="_xlnm._FilterDatabase" localSheetId="11" hidden="1">#REF!</definedName>
    <definedName name="_xlnm._FilterDatabase" localSheetId="9" hidden="1">#REF!</definedName>
    <definedName name="_xlnm._FilterDatabase" localSheetId="13" hidden="1">#REF!</definedName>
    <definedName name="_xlnm._FilterDatabase" localSheetId="20" hidden="1">#REF!</definedName>
    <definedName name="_xlnm._FilterDatabase" hidden="1">#REF!</definedName>
    <definedName name="a" localSheetId="2">[2]DATA!#REF!</definedName>
    <definedName name="a" localSheetId="5">[2]DATA!#REF!</definedName>
    <definedName name="a" localSheetId="4">[2]DATA!#REF!</definedName>
    <definedName name="a" localSheetId="3">[2]DATA!#REF!</definedName>
    <definedName name="a" localSheetId="6">[2]DATA!#REF!</definedName>
    <definedName name="a" localSheetId="20">[2]DATA!#REF!</definedName>
    <definedName name="aa" localSheetId="2">#REF!</definedName>
    <definedName name="aa" localSheetId="5">#REF!</definedName>
    <definedName name="aa" localSheetId="4">#REF!</definedName>
    <definedName name="aa" localSheetId="3">#REF!</definedName>
    <definedName name="aa" localSheetId="6">#REF!</definedName>
    <definedName name="aa" localSheetId="9">#REF!</definedName>
    <definedName name="aa" localSheetId="13">#REF!</definedName>
    <definedName name="aa" localSheetId="20">#REF!</definedName>
    <definedName name="ABMUSTERE" localSheetId="2">#REF!</definedName>
    <definedName name="ABMUSTERE" localSheetId="5">#REF!</definedName>
    <definedName name="ABMUSTERE" localSheetId="4">#REF!</definedName>
    <definedName name="ABMUSTERE" localSheetId="3">#REF!</definedName>
    <definedName name="ABMUSTERE" localSheetId="6">#REF!</definedName>
    <definedName name="ABMUSTERE" localSheetId="9">#REF!</definedName>
    <definedName name="ABMUSTERE" localSheetId="13">#REF!</definedName>
    <definedName name="ABMUSTERE" localSheetId="20">#REF!</definedName>
    <definedName name="Agent">'[3]SHIP PARTICULARS'!$D$9</definedName>
    <definedName name="Agent_Adress_1">'[3]SHIP PARTICULARS'!$D$10</definedName>
    <definedName name="Agent_Adress_2">'[3]SHIP PARTICULARS'!$D$11</definedName>
    <definedName name="Agent_Adress_3">'[3]SHIP PARTICULARS'!$D$12</definedName>
    <definedName name="Agents" localSheetId="2">#REF!</definedName>
    <definedName name="Agents" localSheetId="5">#REF!</definedName>
    <definedName name="Agents" localSheetId="4">#REF!</definedName>
    <definedName name="Agents" localSheetId="3">#REF!</definedName>
    <definedName name="Agents" localSheetId="6">#REF!</definedName>
    <definedName name="Agents" localSheetId="9">#REF!</definedName>
    <definedName name="Agents" localSheetId="13">#REF!</definedName>
    <definedName name="Agents" localSheetId="20">#REF!</definedName>
    <definedName name="ALLOT" localSheetId="2">#REF!</definedName>
    <definedName name="ALLOT" localSheetId="5">#REF!</definedName>
    <definedName name="ALLOT" localSheetId="4">#REF!</definedName>
    <definedName name="ALLOT" localSheetId="3">#REF!</definedName>
    <definedName name="ALLOT" localSheetId="6">#REF!</definedName>
    <definedName name="ALLOT" localSheetId="9">#REF!</definedName>
    <definedName name="ALLOT" localSheetId="13">#REF!</definedName>
    <definedName name="ALLOT" localSheetId="20">#REF!</definedName>
    <definedName name="ALLOT_" localSheetId="2">#REF!</definedName>
    <definedName name="ALLOT_" localSheetId="5">#REF!</definedName>
    <definedName name="ALLOT_" localSheetId="4">#REF!</definedName>
    <definedName name="ALLOT_" localSheetId="3">#REF!</definedName>
    <definedName name="ALLOT_" localSheetId="6">#REF!</definedName>
    <definedName name="ALLOT_" localSheetId="9">#REF!</definedName>
    <definedName name="ALLOT_" localSheetId="13">#REF!</definedName>
    <definedName name="ALLOT_" localSheetId="20">#REF!</definedName>
    <definedName name="ANDERE_" localSheetId="2">#REF!</definedName>
    <definedName name="ANDERE_" localSheetId="5">#REF!</definedName>
    <definedName name="ANDERE_" localSheetId="4">#REF!</definedName>
    <definedName name="ANDERE_" localSheetId="3">#REF!</definedName>
    <definedName name="ANDERE_" localSheetId="6">#REF!</definedName>
    <definedName name="ANDERE_" localSheetId="9">#REF!</definedName>
    <definedName name="ANDERE_" localSheetId="13">#REF!</definedName>
    <definedName name="ANDERE_" localSheetId="20">#REF!</definedName>
    <definedName name="ANDERE_2" localSheetId="2">#REF!</definedName>
    <definedName name="ANDERE_2" localSheetId="5">#REF!</definedName>
    <definedName name="ANDERE_2" localSheetId="4">#REF!</definedName>
    <definedName name="ANDERE_2" localSheetId="3">#REF!</definedName>
    <definedName name="ANDERE_2" localSheetId="6">#REF!</definedName>
    <definedName name="ANDERE_2" localSheetId="9">#REF!</definedName>
    <definedName name="ANDERE_2" localSheetId="13">#REF!</definedName>
    <definedName name="ANDERE_2" localSheetId="20">#REF!</definedName>
    <definedName name="ArrivalDate">'[3]SHIP PARTICULARS'!$D$7</definedName>
    <definedName name="ArrUSPort" localSheetId="2">#REF!</definedName>
    <definedName name="ArrUSPort" localSheetId="5">#REF!</definedName>
    <definedName name="ArrUSPort" localSheetId="4">#REF!</definedName>
    <definedName name="ArrUSPort" localSheetId="3">#REF!</definedName>
    <definedName name="ArrUSPort" localSheetId="6">#REF!</definedName>
    <definedName name="ArrUSPort" localSheetId="9">#REF!</definedName>
    <definedName name="ArrUSPort" localSheetId="13">#REF!</definedName>
    <definedName name="ArrUSPort" localSheetId="20">#REF!</definedName>
    <definedName name="B_F" localSheetId="2">#REF!</definedName>
    <definedName name="B_F" localSheetId="5">#REF!</definedName>
    <definedName name="B_F" localSheetId="4">#REF!</definedName>
    <definedName name="B_F" localSheetId="3">#REF!</definedName>
    <definedName name="B_F" localSheetId="6">#REF!</definedName>
    <definedName name="B_F" localSheetId="9">#REF!</definedName>
    <definedName name="B_F" localSheetId="13">#REF!</definedName>
    <definedName name="B_F" localSheetId="20">#REF!</definedName>
    <definedName name="balance_forwarded" localSheetId="2">#REF!</definedName>
    <definedName name="balance_forwarded" localSheetId="5">#REF!</definedName>
    <definedName name="balance_forwarded" localSheetId="4">#REF!</definedName>
    <definedName name="balance_forwarded" localSheetId="3">#REF!</definedName>
    <definedName name="balance_forwarded" localSheetId="6">#REF!</definedName>
    <definedName name="balance_forwarded" localSheetId="9">#REF!</definedName>
    <definedName name="balance_forwarded" localSheetId="13">#REF!</definedName>
    <definedName name="balance_forwarded" localSheetId="20">#REF!</definedName>
    <definedName name="BASIC" localSheetId="2">#REF!</definedName>
    <definedName name="BASIC" localSheetId="5">#REF!</definedName>
    <definedName name="BASIC" localSheetId="4">#REF!</definedName>
    <definedName name="BASIC" localSheetId="3">#REF!</definedName>
    <definedName name="BASIC" localSheetId="6">#REF!</definedName>
    <definedName name="BASIC" localSheetId="9">#REF!</definedName>
    <definedName name="BASIC" localSheetId="13">#REF!</definedName>
    <definedName name="BASIC" localSheetId="20">#REF!</definedName>
    <definedName name="BASIC_" localSheetId="2">#REF!</definedName>
    <definedName name="BASIC_" localSheetId="5">#REF!</definedName>
    <definedName name="BASIC_" localSheetId="4">#REF!</definedName>
    <definedName name="BASIC_" localSheetId="3">#REF!</definedName>
    <definedName name="BASIC_" localSheetId="6">#REF!</definedName>
    <definedName name="BASIC_" localSheetId="9">#REF!</definedName>
    <definedName name="BASIC_" localSheetId="13">#REF!</definedName>
    <definedName name="BASIC_" localSheetId="20">#REF!</definedName>
    <definedName name="BF_" localSheetId="2">#REF!</definedName>
    <definedName name="BF_" localSheetId="5">#REF!</definedName>
    <definedName name="BF_" localSheetId="4">#REF!</definedName>
    <definedName name="BF_" localSheetId="3">#REF!</definedName>
    <definedName name="BF_" localSheetId="6">#REF!</definedName>
    <definedName name="BF_" localSheetId="9">#REF!</definedName>
    <definedName name="BF_" localSheetId="13">#REF!</definedName>
    <definedName name="BF_" localSheetId="20">#REF!</definedName>
    <definedName name="BONUS" localSheetId="2">#REF!</definedName>
    <definedName name="BONUS" localSheetId="5">#REF!</definedName>
    <definedName name="BONUS" localSheetId="4">#REF!</definedName>
    <definedName name="BONUS" localSheetId="3">#REF!</definedName>
    <definedName name="BONUS" localSheetId="6">#REF!</definedName>
    <definedName name="BONUS" localSheetId="9">#REF!</definedName>
    <definedName name="BONUS" localSheetId="13">#REF!</definedName>
    <definedName name="BONUS" localSheetId="20">#REF!</definedName>
    <definedName name="BONUS_" localSheetId="2">#REF!</definedName>
    <definedName name="BONUS_" localSheetId="5">#REF!</definedName>
    <definedName name="BONUS_" localSheetId="4">#REF!</definedName>
    <definedName name="BONUS_" localSheetId="3">#REF!</definedName>
    <definedName name="BONUS_" localSheetId="6">#REF!</definedName>
    <definedName name="BONUS_" localSheetId="9">#REF!</definedName>
    <definedName name="BONUS_" localSheetId="13">#REF!</definedName>
    <definedName name="BONUS_" localSheetId="20">#REF!</definedName>
    <definedName name="CARGO" localSheetId="2">#REF!</definedName>
    <definedName name="CARGO" localSheetId="5">#REF!</definedName>
    <definedName name="CARGO" localSheetId="4">#REF!</definedName>
    <definedName name="CARGO" localSheetId="3">#REF!</definedName>
    <definedName name="CARGO" localSheetId="6">#REF!</definedName>
    <definedName name="CARGO" localSheetId="9">#REF!</definedName>
    <definedName name="CARGO" localSheetId="13">#REF!</definedName>
    <definedName name="CARGO" localSheetId="20">#REF!</definedName>
    <definedName name="CASH" localSheetId="2">#REF!</definedName>
    <definedName name="CASH" localSheetId="5">#REF!</definedName>
    <definedName name="CASH" localSheetId="4">#REF!</definedName>
    <definedName name="CASH" localSheetId="3">#REF!</definedName>
    <definedName name="CASH" localSheetId="6">#REF!</definedName>
    <definedName name="CASH" localSheetId="9">#REF!</definedName>
    <definedName name="CASH" localSheetId="13">#REF!</definedName>
    <definedName name="CASH" localSheetId="20">#REF!</definedName>
    <definedName name="cash_" localSheetId="2">#REF!</definedName>
    <definedName name="cash_" localSheetId="5">#REF!</definedName>
    <definedName name="cash_" localSheetId="4">#REF!</definedName>
    <definedName name="cash_" localSheetId="3">#REF!</definedName>
    <definedName name="cash_" localSheetId="6">#REF!</definedName>
    <definedName name="cash_" localSheetId="9">#REF!</definedName>
    <definedName name="cash_" localSheetId="13">#REF!</definedName>
    <definedName name="cash_" localSheetId="20">#REF!</definedName>
    <definedName name="CASH2" localSheetId="2">#REF!</definedName>
    <definedName name="CASH2" localSheetId="5">#REF!</definedName>
    <definedName name="CASH2" localSheetId="4">#REF!</definedName>
    <definedName name="CASH2" localSheetId="3">#REF!</definedName>
    <definedName name="CASH2" localSheetId="6">#REF!</definedName>
    <definedName name="CASH2" localSheetId="9">#REF!</definedName>
    <definedName name="CASH2" localSheetId="13">#REF!</definedName>
    <definedName name="CASH2" localSheetId="20">#REF!</definedName>
    <definedName name="Cigaretes" localSheetId="5">#REF!</definedName>
    <definedName name="Cigaretes" localSheetId="4">#REF!</definedName>
    <definedName name="Cigaretes" localSheetId="13">#REF!</definedName>
    <definedName name="Cigaretes" localSheetId="10">#REF!</definedName>
    <definedName name="Cigaretes" localSheetId="20">#REF!</definedName>
    <definedName name="Cigaretes">#REF!</definedName>
    <definedName name="COMM" localSheetId="2">#REF!</definedName>
    <definedName name="COMM" localSheetId="5">#REF!</definedName>
    <definedName name="COMM" localSheetId="4">#REF!</definedName>
    <definedName name="COMM" localSheetId="3">#REF!</definedName>
    <definedName name="COMM" localSheetId="6">#REF!</definedName>
    <definedName name="COMM" localSheetId="9">#REF!</definedName>
    <definedName name="COMM" localSheetId="13">#REF!</definedName>
    <definedName name="COMM" localSheetId="20">#REF!</definedName>
    <definedName name="comm_" localSheetId="2">#REF!</definedName>
    <definedName name="comm_" localSheetId="5">#REF!</definedName>
    <definedName name="comm_" localSheetId="4">#REF!</definedName>
    <definedName name="comm_" localSheetId="3">#REF!</definedName>
    <definedName name="comm_" localSheetId="6">#REF!</definedName>
    <definedName name="comm_" localSheetId="9">#REF!</definedName>
    <definedName name="comm_" localSheetId="13">#REF!</definedName>
    <definedName name="comm_" localSheetId="20">#REF!</definedName>
    <definedName name="COUNTRIES" localSheetId="2">#REF!</definedName>
    <definedName name="COUNTRIES" localSheetId="5">#REF!</definedName>
    <definedName name="COUNTRIES" localSheetId="4">#REF!</definedName>
    <definedName name="COUNTRIES" localSheetId="3">#REF!</definedName>
    <definedName name="COUNTRIES" localSheetId="6">#REF!</definedName>
    <definedName name="COUNTRIES" localSheetId="9">#REF!</definedName>
    <definedName name="COUNTRIES" localSheetId="13">#REF!</definedName>
    <definedName name="COUNTRIES" localSheetId="20">#REF!</definedName>
    <definedName name="country_codes">'[4]Country codes'!$B$2:$B$250</definedName>
    <definedName name="CREW__LIST" localSheetId="2">'[5]Crew List'!#REF!</definedName>
    <definedName name="CREW__LIST" localSheetId="5">'[5]Crew List'!#REF!</definedName>
    <definedName name="CREW__LIST" localSheetId="4">'[5]Crew List'!#REF!</definedName>
    <definedName name="CREW__LIST" localSheetId="3">'[5]Crew List'!#REF!</definedName>
    <definedName name="CREW__LIST" localSheetId="6">'[5]Crew List'!#REF!</definedName>
    <definedName name="CREW__LIST" localSheetId="20">'[5]Crew List'!#REF!</definedName>
    <definedName name="CREW_DATA" localSheetId="2">#REF!</definedName>
    <definedName name="CREW_DATA" localSheetId="5">#REF!</definedName>
    <definedName name="CREW_DATA" localSheetId="4">#REF!</definedName>
    <definedName name="CREW_DATA" localSheetId="3">#REF!</definedName>
    <definedName name="CREW_DATA" localSheetId="6">#REF!</definedName>
    <definedName name="CREW_DATA" localSheetId="9">#REF!</definedName>
    <definedName name="CREW_DATA" localSheetId="13">#REF!</definedName>
    <definedName name="CREW_DATA" localSheetId="20">#REF!</definedName>
    <definedName name="CREW_LIST" localSheetId="2">#REF!</definedName>
    <definedName name="CREW_LIST" localSheetId="5">#REF!</definedName>
    <definedName name="CREW_LIST" localSheetId="4">#REF!</definedName>
    <definedName name="CREW_LIST" localSheetId="3">#REF!</definedName>
    <definedName name="CREW_LIST" localSheetId="6">#REF!</definedName>
    <definedName name="CREW_LIST" localSheetId="9">#REF!</definedName>
    <definedName name="CREW_LIST" localSheetId="13">#REF!</definedName>
    <definedName name="CREW_LIST" localSheetId="20">#REF!</definedName>
    <definedName name="CREWLISTEMB" localSheetId="5" hidden="1">#REF!</definedName>
    <definedName name="CREWLISTEMB" localSheetId="4" hidden="1">#REF!</definedName>
    <definedName name="CREWLISTEMB" localSheetId="13" hidden="1">#REF!</definedName>
    <definedName name="CREWLISTEMB" localSheetId="20" hidden="1">#REF!</definedName>
    <definedName name="CREWLISTEMB" hidden="1">#REF!</definedName>
    <definedName name="_xlnm.Criteria" localSheetId="5">'[6]DB-CREW'!#REF!</definedName>
    <definedName name="_xlnm.Criteria" localSheetId="4">'[6]DB-CREW'!#REF!</definedName>
    <definedName name="_xlnm.Criteria" localSheetId="3">'[6]DB-CREW'!#REF!</definedName>
    <definedName name="_xlnm.Criteria" localSheetId="8">'[7]DB-CREW'!#REF!</definedName>
    <definedName name="_xlnm.Criteria" localSheetId="13">'[6]DB-CREW'!#REF!</definedName>
    <definedName name="_xlnm.Criteria" localSheetId="20">'[6]DB-CREW'!#REF!</definedName>
    <definedName name="_xlnm.Criteria">'[6]DB-CREW'!#REF!</definedName>
    <definedName name="CurrentPort">'[3]SHIP PARTICULARS'!$D$5</definedName>
    <definedName name="DateOfReg">'[3]SHIP PARTICULARS'!$B$8</definedName>
    <definedName name="deduction" localSheetId="2">#REF!</definedName>
    <definedName name="deduction" localSheetId="5">#REF!</definedName>
    <definedName name="deduction" localSheetId="4">#REF!</definedName>
    <definedName name="deduction" localSheetId="3">#REF!</definedName>
    <definedName name="deduction" localSheetId="6">#REF!</definedName>
    <definedName name="deduction" localSheetId="9">#REF!</definedName>
    <definedName name="deduction" localSheetId="13">#REF!</definedName>
    <definedName name="deduction" localSheetId="20">#REF!</definedName>
    <definedName name="Departure__Port">[3]port_call!$G$1</definedName>
    <definedName name="Druckbereich_MI" localSheetId="5">#REF!</definedName>
    <definedName name="Druckbereich_MI" localSheetId="4">#REF!</definedName>
    <definedName name="Druckbereich_MI" localSheetId="3">#REF!</definedName>
    <definedName name="Druckbereich_MI" localSheetId="8">#REF!</definedName>
    <definedName name="Druckbereich_MI" localSheetId="13">#REF!</definedName>
    <definedName name="Druckbereich_MI" localSheetId="20">#REF!</definedName>
    <definedName name="Druckbereich_MI">#REF!</definedName>
    <definedName name="dupa" localSheetId="5">'[6]DB-CREW'!#REF!</definedName>
    <definedName name="dupa" localSheetId="4">'[6]DB-CREW'!#REF!</definedName>
    <definedName name="dupa" localSheetId="3">'[6]DB-CREW'!#REF!</definedName>
    <definedName name="dupa" localSheetId="8">'[7]DB-CREW'!#REF!</definedName>
    <definedName name="dupa" localSheetId="13">'[6]DB-CREW'!#REF!</definedName>
    <definedName name="dupa" localSheetId="20">'[6]DB-CREW'!#REF!</definedName>
    <definedName name="dupa">'[6]DB-CREW'!#REF!</definedName>
    <definedName name="EFFECT" localSheetId="5" hidden="1">#REF!</definedName>
    <definedName name="EFFECT" localSheetId="4" hidden="1">#REF!</definedName>
    <definedName name="EFFECT" localSheetId="3" hidden="1">#REF!</definedName>
    <definedName name="EFFECT" localSheetId="18" hidden="1">#REF!</definedName>
    <definedName name="EFFECT" localSheetId="12" hidden="1">#REF!</definedName>
    <definedName name="EFFECT" localSheetId="11" hidden="1">#REF!</definedName>
    <definedName name="EFFECT" localSheetId="13" hidden="1">#REF!</definedName>
    <definedName name="EFFECT" localSheetId="20" hidden="1">#REF!</definedName>
    <definedName name="EFFECT" hidden="1">#REF!</definedName>
    <definedName name="EXTRA_OT" localSheetId="2">#REF!</definedName>
    <definedName name="EXTRA_OT" localSheetId="5">#REF!</definedName>
    <definedName name="EXTRA_OT" localSheetId="4">#REF!</definedName>
    <definedName name="EXTRA_OT" localSheetId="3">#REF!</definedName>
    <definedName name="EXTRA_OT" localSheetId="6">#REF!</definedName>
    <definedName name="EXTRA_OT" localSheetId="9">#REF!</definedName>
    <definedName name="EXTRA_OT" localSheetId="13">#REF!</definedName>
    <definedName name="EXTRA_OT" localSheetId="20">#REF!</definedName>
    <definedName name="_xlnm.Extract" localSheetId="5">#REF!</definedName>
    <definedName name="_xlnm.Extract" localSheetId="4">#REF!</definedName>
    <definedName name="_xlnm.Extract" localSheetId="3">#REF!</definedName>
    <definedName name="_xlnm.Extract" localSheetId="8">#REF!</definedName>
    <definedName name="_xlnm.Extract" localSheetId="13">#REF!</definedName>
    <definedName name="_xlnm.Extract" localSheetId="20">#REF!</definedName>
    <definedName name="_xlnm.Extract">#REF!</definedName>
    <definedName name="Final_Balance" localSheetId="2">#REF!</definedName>
    <definedName name="Final_Balance" localSheetId="5">#REF!</definedName>
    <definedName name="Final_Balance" localSheetId="4">#REF!</definedName>
    <definedName name="Final_Balance" localSheetId="3">#REF!</definedName>
    <definedName name="Final_Balance" localSheetId="6">#REF!</definedName>
    <definedName name="Final_Balance" localSheetId="9">#REF!</definedName>
    <definedName name="Final_Balance" localSheetId="13">#REF!</definedName>
    <definedName name="Final_Balance" localSheetId="20">#REF!</definedName>
    <definedName name="GALVESTON" localSheetId="18">'[1]ISPS csv File Definition'!$E$11</definedName>
    <definedName name="GALVESTON">M.Menu!$E$11</definedName>
    <definedName name="GenDecl" localSheetId="2">#REF!</definedName>
    <definedName name="GenDecl" localSheetId="5">#REF!</definedName>
    <definedName name="GenDecl" localSheetId="4">#REF!</definedName>
    <definedName name="GenDecl" localSheetId="3">#REF!</definedName>
    <definedName name="GenDecl" localSheetId="6">#REF!</definedName>
    <definedName name="GenDecl" localSheetId="9">#REF!</definedName>
    <definedName name="GenDecl" localSheetId="13">#REF!</definedName>
    <definedName name="GenDecl" localSheetId="20">#REF!</definedName>
    <definedName name="GOODS" localSheetId="2">#REF!</definedName>
    <definedName name="GOODS" localSheetId="5">#REF!</definedName>
    <definedName name="GOODS" localSheetId="4">#REF!</definedName>
    <definedName name="GOODS" localSheetId="3">#REF!</definedName>
    <definedName name="GOODS" localSheetId="6">#REF!</definedName>
    <definedName name="GOODS" localSheetId="9">#REF!</definedName>
    <definedName name="GOODS" localSheetId="13">#REF!</definedName>
    <definedName name="GOODS" localSheetId="20">#REF!</definedName>
    <definedName name="goods_" localSheetId="2">#REF!</definedName>
    <definedName name="goods_" localSheetId="5">#REF!</definedName>
    <definedName name="goods_" localSheetId="4">#REF!</definedName>
    <definedName name="goods_" localSheetId="3">#REF!</definedName>
    <definedName name="goods_" localSheetId="6">#REF!</definedName>
    <definedName name="goods_" localSheetId="9">#REF!</definedName>
    <definedName name="goods_" localSheetId="13">#REF!</definedName>
    <definedName name="goods_" localSheetId="20">#REF!</definedName>
    <definedName name="INTRA_OT" localSheetId="2">#REF!</definedName>
    <definedName name="INTRA_OT" localSheetId="5">#REF!</definedName>
    <definedName name="INTRA_OT" localSheetId="4">#REF!</definedName>
    <definedName name="INTRA_OT" localSheetId="3">#REF!</definedName>
    <definedName name="INTRA_OT" localSheetId="6">#REF!</definedName>
    <definedName name="INTRA_OT" localSheetId="9">#REF!</definedName>
    <definedName name="INTRA_OT" localSheetId="13">#REF!</definedName>
    <definedName name="INTRA_OT" localSheetId="20">#REF!</definedName>
    <definedName name="ISN_DED." localSheetId="2">#REF!</definedName>
    <definedName name="ISN_DED." localSheetId="5">#REF!</definedName>
    <definedName name="ISN_DED." localSheetId="4">#REF!</definedName>
    <definedName name="ISN_DED." localSheetId="3">#REF!</definedName>
    <definedName name="ISN_DED." localSheetId="6">#REF!</definedName>
    <definedName name="ISN_DED." localSheetId="9">#REF!</definedName>
    <definedName name="ISN_DED." localSheetId="13">#REF!</definedName>
    <definedName name="ISN_DED." localSheetId="20">#REF!</definedName>
    <definedName name="ISN_DED_" localSheetId="2">#REF!</definedName>
    <definedName name="ISN_DED_" localSheetId="5">#REF!</definedName>
    <definedName name="ISN_DED_" localSheetId="4">#REF!</definedName>
    <definedName name="ISN_DED_" localSheetId="3">#REF!</definedName>
    <definedName name="ISN_DED_" localSheetId="6">#REF!</definedName>
    <definedName name="ISN_DED_" localSheetId="9">#REF!</definedName>
    <definedName name="ISN_DED_" localSheetId="13">#REF!</definedName>
    <definedName name="ISN_DED_" localSheetId="20">#REF!</definedName>
    <definedName name="ISN_RED" localSheetId="2">#REF!</definedName>
    <definedName name="ISN_RED" localSheetId="5">#REF!</definedName>
    <definedName name="ISN_RED" localSheetId="4">#REF!</definedName>
    <definedName name="ISN_RED" localSheetId="3">#REF!</definedName>
    <definedName name="ISN_RED" localSheetId="6">#REF!</definedName>
    <definedName name="ISN_RED" localSheetId="9">#REF!</definedName>
    <definedName name="ISN_RED" localSheetId="13">#REF!</definedName>
    <definedName name="ISN_RED" localSheetId="20">#REF!</definedName>
    <definedName name="isps_poc" localSheetId="5">#REF!</definedName>
    <definedName name="isps_poc" localSheetId="4">#REF!</definedName>
    <definedName name="isps_poc" localSheetId="3">#REF!</definedName>
    <definedName name="isps_poc" localSheetId="8">#REF!</definedName>
    <definedName name="isps_poc" localSheetId="13">#REF!</definedName>
    <definedName name="isps_poc" localSheetId="20">#REF!</definedName>
    <definedName name="isps_poc">#REF!</definedName>
    <definedName name="l" localSheetId="2">[2]DATA!#REF!</definedName>
    <definedName name="l" localSheetId="5">[2]DATA!#REF!</definedName>
    <definedName name="l" localSheetId="4">[2]DATA!#REF!</definedName>
    <definedName name="l" localSheetId="3">[2]DATA!#REF!</definedName>
    <definedName name="l" localSheetId="6">[2]DATA!#REF!</definedName>
    <definedName name="l" localSheetId="20">[2]DATA!#REF!</definedName>
    <definedName name="L_O" localSheetId="2">#REF!</definedName>
    <definedName name="L_O" localSheetId="5">#REF!</definedName>
    <definedName name="L_O" localSheetId="4">#REF!</definedName>
    <definedName name="L_O" localSheetId="3">#REF!</definedName>
    <definedName name="L_O" localSheetId="6">#REF!</definedName>
    <definedName name="L_O" localSheetId="9">#REF!</definedName>
    <definedName name="L_O" localSheetId="13">#REF!</definedName>
    <definedName name="L_O" localSheetId="20">#REF!</definedName>
    <definedName name="L_O_" localSheetId="2">#REF!</definedName>
    <definedName name="L_O_" localSheetId="5">#REF!</definedName>
    <definedName name="L_O_" localSheetId="4">#REF!</definedName>
    <definedName name="L_O_" localSheetId="3">#REF!</definedName>
    <definedName name="L_O_" localSheetId="6">#REF!</definedName>
    <definedName name="L_O_" localSheetId="9">#REF!</definedName>
    <definedName name="L_O_" localSheetId="13">#REF!</definedName>
    <definedName name="L_O_" localSheetId="20">#REF!</definedName>
    <definedName name="LEAVE" localSheetId="2">#REF!</definedName>
    <definedName name="LEAVE" localSheetId="5">#REF!</definedName>
    <definedName name="LEAVE" localSheetId="4">#REF!</definedName>
    <definedName name="LEAVE" localSheetId="3">#REF!</definedName>
    <definedName name="LEAVE" localSheetId="6">#REF!</definedName>
    <definedName name="LEAVE" localSheetId="9">#REF!</definedName>
    <definedName name="LEAVE" localSheetId="13">#REF!</definedName>
    <definedName name="LEAVE" localSheetId="20">#REF!</definedName>
    <definedName name="LEAVE_" localSheetId="2">#REF!</definedName>
    <definedName name="LEAVE_" localSheetId="5">#REF!</definedName>
    <definedName name="LEAVE_" localSheetId="4">#REF!</definedName>
    <definedName name="LEAVE_" localSheetId="3">#REF!</definedName>
    <definedName name="LEAVE_" localSheetId="6">#REF!</definedName>
    <definedName name="LEAVE_" localSheetId="9">#REF!</definedName>
    <definedName name="LEAVE_" localSheetId="13">#REF!</definedName>
    <definedName name="LEAVE_" localSheetId="20">#REF!</definedName>
    <definedName name="LEAVE_PAY_BALANCE" localSheetId="2">#REF!</definedName>
    <definedName name="LEAVE_PAY_BALANCE" localSheetId="5">#REF!</definedName>
    <definedName name="LEAVE_PAY_BALANCE" localSheetId="4">#REF!</definedName>
    <definedName name="LEAVE_PAY_BALANCE" localSheetId="3">#REF!</definedName>
    <definedName name="LEAVE_PAY_BALANCE" localSheetId="6">#REF!</definedName>
    <definedName name="LEAVE_PAY_BALANCE" localSheetId="9">#REF!</definedName>
    <definedName name="LEAVE_PAY_BALANCE" localSheetId="13">#REF!</definedName>
    <definedName name="LEAVE_PAY_BALANCE" localSheetId="20">#REF!</definedName>
    <definedName name="LEAVEPAYBAL_" localSheetId="2">#REF!</definedName>
    <definedName name="LEAVEPAYBAL_" localSheetId="5">#REF!</definedName>
    <definedName name="LEAVEPAYBAL_" localSheetId="4">#REF!</definedName>
    <definedName name="LEAVEPAYBAL_" localSheetId="3">#REF!</definedName>
    <definedName name="LEAVEPAYBAL_" localSheetId="6">#REF!</definedName>
    <definedName name="LEAVEPAYBAL_" localSheetId="9">#REF!</definedName>
    <definedName name="LEAVEPAYBAL_" localSheetId="13">#REF!</definedName>
    <definedName name="LEAVEPAYBAL_" localSheetId="20">#REF!</definedName>
    <definedName name="M.Menu_E11" localSheetId="5">#REF!</definedName>
    <definedName name="M.Menu_E11" localSheetId="4">#REF!</definedName>
    <definedName name="M.Menu_E11" localSheetId="3">#REF!</definedName>
    <definedName name="M.Menu_E11" localSheetId="12">#REF!</definedName>
    <definedName name="M.Menu_E11" localSheetId="11">#REF!</definedName>
    <definedName name="M.Menu_E11" localSheetId="13">#REF!</definedName>
    <definedName name="M.Menu_E11" localSheetId="20">#REF!</definedName>
    <definedName name="M.Menu_E11">#REF!</definedName>
    <definedName name="Macro14" localSheetId="2">[8]!Macro14</definedName>
    <definedName name="Macro14" localSheetId="5">[8]!Macro14</definedName>
    <definedName name="Macro14" localSheetId="4">[8]!Macro14</definedName>
    <definedName name="Macro14" localSheetId="3">[8]!Macro14</definedName>
    <definedName name="Macro14" localSheetId="6">[8]!Macro14</definedName>
    <definedName name="Macro14" localSheetId="20">[8]!Macro14</definedName>
    <definedName name="Macro31" localSheetId="2">[8]!Macro31</definedName>
    <definedName name="Macro31" localSheetId="5">[8]!Macro31</definedName>
    <definedName name="Macro31" localSheetId="4">[8]!Macro31</definedName>
    <definedName name="Macro31" localSheetId="3">[8]!Macro31</definedName>
    <definedName name="Macro31" localSheetId="6">[8]!Macro31</definedName>
    <definedName name="Macro31" localSheetId="20">[8]!Macro31</definedName>
    <definedName name="Main_Menu" localSheetId="5">#REF!</definedName>
    <definedName name="Main_Menu" localSheetId="4">#REF!</definedName>
    <definedName name="Main_Menu" localSheetId="15">#REF!</definedName>
    <definedName name="Main_Menu" localSheetId="13">#REF!</definedName>
    <definedName name="Main_Menu" localSheetId="10">#REF!</definedName>
    <definedName name="Main_Menu" localSheetId="20">#REF!</definedName>
    <definedName name="Main_Menu">#REF!</definedName>
    <definedName name="MEAN" localSheetId="2">#REF!</definedName>
    <definedName name="MEAN" localSheetId="5">#REF!</definedName>
    <definedName name="MEAN" localSheetId="4">#REF!</definedName>
    <definedName name="MEAN" localSheetId="3">#REF!</definedName>
    <definedName name="MEAN" localSheetId="6">#REF!</definedName>
    <definedName name="MEAN" localSheetId="9">#REF!</definedName>
    <definedName name="MEAN" localSheetId="13">#REF!</definedName>
    <definedName name="MEAN" localSheetId="20">#REF!</definedName>
    <definedName name="MERCH_" localSheetId="2">#REF!</definedName>
    <definedName name="MERCH_" localSheetId="5">#REF!</definedName>
    <definedName name="MERCH_" localSheetId="4">#REF!</definedName>
    <definedName name="MERCH_" localSheetId="3">#REF!</definedName>
    <definedName name="MERCH_" localSheetId="6">#REF!</definedName>
    <definedName name="MERCH_" localSheetId="9">#REF!</definedName>
    <definedName name="MERCH_" localSheetId="13">#REF!</definedName>
    <definedName name="MERCH_" localSheetId="20">#REF!</definedName>
    <definedName name="NIL">0</definedName>
    <definedName name="NO" localSheetId="5">'[9]DATA IN'!#REF!,'[9]DATA IN'!#REF!,'[9]DATA IN'!$A:$A</definedName>
    <definedName name="NO" localSheetId="4">'[9]DATA IN'!#REF!,'[9]DATA IN'!#REF!,'[9]DATA IN'!$A:$A</definedName>
    <definedName name="NO" localSheetId="3">'[9]DATA IN'!#REF!,'[9]DATA IN'!#REF!,'[9]DATA IN'!$A:$A</definedName>
    <definedName name="NO" localSheetId="8">'[9]DATA IN'!#REF!,'[9]DATA IN'!#REF!,'[9]DATA IN'!$A:$A</definedName>
    <definedName name="NO" localSheetId="9">[10]Database!$A$11:$A$37</definedName>
    <definedName name="NO" localSheetId="13">[10]Database!$A$11:$A$37</definedName>
    <definedName name="NO" localSheetId="20">'[9]DATA IN'!#REF!,'[9]DATA IN'!#REF!,'[9]DATA IN'!$A:$A</definedName>
    <definedName name="NO">'[9]DATA IN'!#REF!,'[9]DATA IN'!#REF!,'[9]DATA IN'!$A:$A</definedName>
    <definedName name="O_T_" localSheetId="2">#REF!</definedName>
    <definedName name="O_T_" localSheetId="5">#REF!</definedName>
    <definedName name="O_T_" localSheetId="4">#REF!</definedName>
    <definedName name="O_T_" localSheetId="3">#REF!</definedName>
    <definedName name="O_T_" localSheetId="6">#REF!</definedName>
    <definedName name="O_T_" localSheetId="9">#REF!</definedName>
    <definedName name="O_T_" localSheetId="13">#REF!</definedName>
    <definedName name="O_T_" localSheetId="20">#REF!</definedName>
    <definedName name="OprAddr1" localSheetId="2">#REF!</definedName>
    <definedName name="OprAddr1" localSheetId="5">#REF!</definedName>
    <definedName name="OprAddr1" localSheetId="4">#REF!</definedName>
    <definedName name="OprAddr1" localSheetId="3">#REF!</definedName>
    <definedName name="OprAddr1" localSheetId="6">#REF!</definedName>
    <definedName name="OprAddr1" localSheetId="9">#REF!</definedName>
    <definedName name="OprAddr1" localSheetId="13">#REF!</definedName>
    <definedName name="OprAddr1" localSheetId="20">#REF!</definedName>
    <definedName name="OprAddr2" localSheetId="2">#REF!</definedName>
    <definedName name="OprAddr2" localSheetId="5">#REF!</definedName>
    <definedName name="OprAddr2" localSheetId="4">#REF!</definedName>
    <definedName name="OprAddr2" localSheetId="3">#REF!</definedName>
    <definedName name="OprAddr2" localSheetId="6">#REF!</definedName>
    <definedName name="OprAddr2" localSheetId="9">#REF!</definedName>
    <definedName name="OprAddr2" localSheetId="13">#REF!</definedName>
    <definedName name="OprAddr2" localSheetId="20">#REF!</definedName>
    <definedName name="OprName" localSheetId="2">#REF!</definedName>
    <definedName name="OprName" localSheetId="5">#REF!</definedName>
    <definedName name="OprName" localSheetId="4">#REF!</definedName>
    <definedName name="OprName" localSheetId="3">#REF!</definedName>
    <definedName name="OprName" localSheetId="6">#REF!</definedName>
    <definedName name="OprName" localSheetId="9">#REF!</definedName>
    <definedName name="OprName" localSheetId="13">#REF!</definedName>
    <definedName name="OprName" localSheetId="20">#REF!</definedName>
    <definedName name="OTHER" localSheetId="2">#REF!</definedName>
    <definedName name="OTHER" localSheetId="5">#REF!</definedName>
    <definedName name="OTHER" localSheetId="4">#REF!</definedName>
    <definedName name="OTHER" localSheetId="3">#REF!</definedName>
    <definedName name="OTHER" localSheetId="6">#REF!</definedName>
    <definedName name="OTHER" localSheetId="9">#REF!</definedName>
    <definedName name="OTHER" localSheetId="13">#REF!</definedName>
    <definedName name="OTHER" localSheetId="20">#REF!</definedName>
    <definedName name="OTHER_" localSheetId="2">#REF!</definedName>
    <definedName name="OTHER_" localSheetId="5">#REF!</definedName>
    <definedName name="OTHER_" localSheetId="4">#REF!</definedName>
    <definedName name="OTHER_" localSheetId="3">#REF!</definedName>
    <definedName name="OTHER_" localSheetId="6">#REF!</definedName>
    <definedName name="OTHER_" localSheetId="9">#REF!</definedName>
    <definedName name="OTHER_" localSheetId="13">#REF!</definedName>
    <definedName name="OTHER_" localSheetId="20">#REF!</definedName>
    <definedName name="OTHER_2" localSheetId="2">#REF!</definedName>
    <definedName name="OTHER_2" localSheetId="5">#REF!</definedName>
    <definedName name="OTHER_2" localSheetId="4">#REF!</definedName>
    <definedName name="OTHER_2" localSheetId="3">#REF!</definedName>
    <definedName name="OTHER_2" localSheetId="6">#REF!</definedName>
    <definedName name="OTHER_2" localSheetId="9">#REF!</definedName>
    <definedName name="OTHER_2" localSheetId="13">#REF!</definedName>
    <definedName name="OTHER_2" localSheetId="20">#REF!</definedName>
    <definedName name="OTHER2" localSheetId="2">#REF!</definedName>
    <definedName name="OTHER2" localSheetId="5">#REF!</definedName>
    <definedName name="OTHER2" localSheetId="4">#REF!</definedName>
    <definedName name="OTHER2" localSheetId="3">#REF!</definedName>
    <definedName name="OTHER2" localSheetId="6">#REF!</definedName>
    <definedName name="OTHER2" localSheetId="9">#REF!</definedName>
    <definedName name="OTHER2" localSheetId="13">#REF!</definedName>
    <definedName name="OTHER2" localSheetId="20">#REF!</definedName>
    <definedName name="ouu" localSheetId="2">#REF!</definedName>
    <definedName name="ouu" localSheetId="5">#REF!</definedName>
    <definedName name="ouu" localSheetId="4">#REF!</definedName>
    <definedName name="ouu" localSheetId="3">#REF!</definedName>
    <definedName name="ouu" localSheetId="6">#REF!</definedName>
    <definedName name="ouu" localSheetId="9">#REF!</definedName>
    <definedName name="ouu" localSheetId="13">#REF!</definedName>
    <definedName name="ouu" localSheetId="20">#REF!</definedName>
    <definedName name="OwnerAddr1" localSheetId="2">#REF!</definedName>
    <definedName name="OwnerAddr1" localSheetId="5">#REF!</definedName>
    <definedName name="OwnerAddr1" localSheetId="4">#REF!</definedName>
    <definedName name="OwnerAddr1" localSheetId="3">#REF!</definedName>
    <definedName name="OwnerAddr1" localSheetId="6">#REF!</definedName>
    <definedName name="OwnerAddr1" localSheetId="9">#REF!</definedName>
    <definedName name="OwnerAddr1" localSheetId="13">#REF!</definedName>
    <definedName name="OwnerAddr1" localSheetId="20">#REF!</definedName>
    <definedName name="OwnerAddr2" localSheetId="2">#REF!</definedName>
    <definedName name="OwnerAddr2" localSheetId="5">#REF!</definedName>
    <definedName name="OwnerAddr2" localSheetId="4">#REF!</definedName>
    <definedName name="OwnerAddr2" localSheetId="3">#REF!</definedName>
    <definedName name="OwnerAddr2" localSheetId="6">#REF!</definedName>
    <definedName name="OwnerAddr2" localSheetId="9">#REF!</definedName>
    <definedName name="OwnerAddr2" localSheetId="13">#REF!</definedName>
    <definedName name="OwnerAddr2" localSheetId="20">#REF!</definedName>
    <definedName name="OwnerName" localSheetId="2">#REF!</definedName>
    <definedName name="OwnerName" localSheetId="5">#REF!</definedName>
    <definedName name="OwnerName" localSheetId="4">#REF!</definedName>
    <definedName name="OwnerName" localSheetId="3">#REF!</definedName>
    <definedName name="OwnerName" localSheetId="6">#REF!</definedName>
    <definedName name="OwnerName" localSheetId="9">#REF!</definedName>
    <definedName name="OwnerName" localSheetId="13">#REF!</definedName>
    <definedName name="OwnerName" localSheetId="20">#REF!</definedName>
    <definedName name="P_O_" localSheetId="2">#REF!</definedName>
    <definedName name="P_O_" localSheetId="5">#REF!</definedName>
    <definedName name="P_O_" localSheetId="4">#REF!</definedName>
    <definedName name="P_O_" localSheetId="3">#REF!</definedName>
    <definedName name="P_O_" localSheetId="6">#REF!</definedName>
    <definedName name="P_O_" localSheetId="9">#REF!</definedName>
    <definedName name="P_O_" localSheetId="13">#REF!</definedName>
    <definedName name="P_O_" localSheetId="20">#REF!</definedName>
    <definedName name="Page1">'[11]Page 1'!$B$8:$AN$55</definedName>
    <definedName name="Page2">'[11]Page 2'!$B$8:$AN$55</definedName>
    <definedName name="Page3">'[11]Page 3'!$B$8:$AN$55</definedName>
    <definedName name="Page4">'[11]835 W'!$B$8:$AN$55</definedName>
    <definedName name="paint" localSheetId="5" hidden="1">#REF!</definedName>
    <definedName name="paint" localSheetId="4" hidden="1">#REF!</definedName>
    <definedName name="paint" localSheetId="3" hidden="1">#REF!</definedName>
    <definedName name="paint" localSheetId="18" hidden="1">#REF!</definedName>
    <definedName name="paint" localSheetId="12" hidden="1">#REF!</definedName>
    <definedName name="paint" localSheetId="11" hidden="1">#REF!</definedName>
    <definedName name="paint" localSheetId="13" hidden="1">#REF!</definedName>
    <definedName name="paint" localSheetId="20" hidden="1">#REF!</definedName>
    <definedName name="paint" hidden="1">#REF!</definedName>
    <definedName name="paymenu" localSheetId="2">[12]!paymenu</definedName>
    <definedName name="paymenu" localSheetId="5">[12]!paymenu</definedName>
    <definedName name="paymenu" localSheetId="4">[12]!paymenu</definedName>
    <definedName name="paymenu" localSheetId="3">[12]!paymenu</definedName>
    <definedName name="paymenu" localSheetId="6">[12]!paymenu</definedName>
    <definedName name="paymenu" localSheetId="20">[12]!paymenu</definedName>
    <definedName name="PAYOFF" localSheetId="2">#REF!</definedName>
    <definedName name="PAYOFF" localSheetId="5">#REF!</definedName>
    <definedName name="PAYOFF" localSheetId="4">#REF!</definedName>
    <definedName name="PAYOFF" localSheetId="3">#REF!</definedName>
    <definedName name="PAYOFF" localSheetId="6">#REF!</definedName>
    <definedName name="PAYOFF" localSheetId="9">#REF!</definedName>
    <definedName name="PAYOFF" localSheetId="13">#REF!</definedName>
    <definedName name="PAYOFF" localSheetId="20">#REF!</definedName>
    <definedName name="PAYOFF_" localSheetId="2">#REF!</definedName>
    <definedName name="PAYOFF_" localSheetId="5">#REF!</definedName>
    <definedName name="PAYOFF_" localSheetId="4">#REF!</definedName>
    <definedName name="PAYOFF_" localSheetId="3">#REF!</definedName>
    <definedName name="PAYOFF_" localSheetId="6">#REF!</definedName>
    <definedName name="PAYOFF_" localSheetId="9">#REF!</definedName>
    <definedName name="PAYOFF_" localSheetId="13">#REF!</definedName>
    <definedName name="PAYOFF_" localSheetId="20">#REF!</definedName>
    <definedName name="PAYROLL_" localSheetId="2">#REF!</definedName>
    <definedName name="PAYROLL_" localSheetId="5">#REF!</definedName>
    <definedName name="PAYROLL_" localSheetId="4">#REF!</definedName>
    <definedName name="PAYROLL_" localSheetId="3">#REF!</definedName>
    <definedName name="PAYROLL_" localSheetId="6">#REF!</definedName>
    <definedName name="PAYROLL_" localSheetId="9">#REF!</definedName>
    <definedName name="PAYROLL_" localSheetId="13">#REF!</definedName>
    <definedName name="PAYROLL_" localSheetId="20">#REF!</definedName>
    <definedName name="PAYROLL_BALANCE" localSheetId="2">#REF!</definedName>
    <definedName name="PAYROLL_BALANCE" localSheetId="5">#REF!</definedName>
    <definedName name="PAYROLL_BALANCE" localSheetId="4">#REF!</definedName>
    <definedName name="PAYROLL_BALANCE" localSheetId="3">#REF!</definedName>
    <definedName name="PAYROLL_BALANCE" localSheetId="6">#REF!</definedName>
    <definedName name="PAYROLL_BALANCE" localSheetId="9">#REF!</definedName>
    <definedName name="PAYROLL_BALANCE" localSheetId="13">#REF!</definedName>
    <definedName name="PAYROLL_BALANCE" localSheetId="20">#REF!</definedName>
    <definedName name="PortOfConstruct" localSheetId="2">#REF!</definedName>
    <definedName name="PortOfConstruct" localSheetId="5">#REF!</definedName>
    <definedName name="PortOfConstruct" localSheetId="4">#REF!</definedName>
    <definedName name="PortOfConstruct" localSheetId="3">#REF!</definedName>
    <definedName name="PortOfConstruct" localSheetId="6">#REF!</definedName>
    <definedName name="PortOfConstruct" localSheetId="9">#REF!</definedName>
    <definedName name="PortOfConstruct" localSheetId="13">#REF!</definedName>
    <definedName name="PortOfConstruct" localSheetId="20">#REF!</definedName>
    <definedName name="Ports_Data">[13]Ports_Data!$A$4:$AK$65</definedName>
    <definedName name="_xlnm.Print_Area" localSheetId="22">'Arm&amp;Ammu'!$B$2:$F$41</definedName>
    <definedName name="_xlnm.Print_Area" localSheetId="2">'Arr Crew List IMO'!$B$2:$N$57</definedName>
    <definedName name="_xlnm.Print_Area" localSheetId="5">'Arr Crew List Marshall SB'!$B$2:$M$56</definedName>
    <definedName name="_xlnm.Print_Area" localSheetId="4">'Arr Crew List National SB'!$B$2:$M$56</definedName>
    <definedName name="_xlnm.Print_Area" localSheetId="3">'Arr Crew List Port'!$B$2:$N$57</definedName>
    <definedName name="_xlnm.Print_Area" localSheetId="18">'Bonded Store'!$B$2:$K$45</definedName>
    <definedName name="_xlnm.Print_Area" localSheetId="15">'Crew Effect Declaration'!$B$1:$N$48</definedName>
    <definedName name="_xlnm.Print_Area" localSheetId="16">CrewMoneyDec!$B$2:$J$45</definedName>
    <definedName name="_xlnm.Print_Area" localSheetId="23">'Dangerous Good Manifest IMO '!$B$2:$S$32</definedName>
    <definedName name="_xlnm.Print_Area" localSheetId="1">'DataBase (IMO form)'!$B$2:$AH$27</definedName>
    <definedName name="_xlnm.Print_Area" localSheetId="6">'Dep CrewList IMO'!$C$2:$O$51</definedName>
    <definedName name="_xlnm.Print_Area" localSheetId="12">'List of Last 10 Port of Calls'!$B$2:$K$29</definedName>
    <definedName name="_xlnm.Print_Area" localSheetId="11">ListofPort!$B$2:$K$65</definedName>
    <definedName name="_xlnm.Print_Area" localSheetId="0">M.Menu!$A$1</definedName>
    <definedName name="_xlnm.Print_Area" localSheetId="7">MDoH!$A$1:$L$86</definedName>
    <definedName name="_xlnm.Print_Area" localSheetId="14">'NIL-Cargo manifest'!$B$2:$F$32</definedName>
    <definedName name="_xlnm.Print_Area" localSheetId="13">'NIL-List'!$B$1:$E$29</definedName>
    <definedName name="_xlnm.Print_Area" localSheetId="10">'Passenger List IMO'!$A$1:$AC$33</definedName>
    <definedName name="_xlnm.Print_Area" localSheetId="19">'Ships Stores Declaration'!$B$2:$J$63</definedName>
    <definedName name="_xlnm.Print_Area" localSheetId="17">'ShipsMoneyDec Arr'!$B$2:$D$33</definedName>
    <definedName name="_xlnm.Print_Area" localSheetId="21">ShipsProps!$B$2:$K$52</definedName>
    <definedName name="_xlnm.Print_Area" localSheetId="20">'Vaccine Yellow Fever'!$B$2:$M$56</definedName>
    <definedName name="Print_Area_MI" localSheetId="2">#REF!</definedName>
    <definedName name="Print_Area_MI" localSheetId="5">#REF!</definedName>
    <definedName name="Print_Area_MI" localSheetId="4">#REF!</definedName>
    <definedName name="Print_Area_MI" localSheetId="3">#REF!</definedName>
    <definedName name="Print_Area_MI" localSheetId="6">#REF!</definedName>
    <definedName name="Print_Area_MI" localSheetId="9">#REF!</definedName>
    <definedName name="Print_Area_MI" localSheetId="13">#REF!</definedName>
    <definedName name="Print_Area_MI" localSheetId="20">#REF!</definedName>
    <definedName name="_xlnm.Print_Titles" localSheetId="1">'DataBase (IMO form)'!$B:$D</definedName>
    <definedName name="Schreibbereich" localSheetId="2">#REF!</definedName>
    <definedName name="Schreibbereich" localSheetId="5">#REF!</definedName>
    <definedName name="Schreibbereich" localSheetId="4">#REF!</definedName>
    <definedName name="Schreibbereich" localSheetId="3">#REF!</definedName>
    <definedName name="Schreibbereich" localSheetId="6">#REF!</definedName>
    <definedName name="Schreibbereich" localSheetId="9">#REF!</definedName>
    <definedName name="Schreibbereich" localSheetId="13">#REF!</definedName>
    <definedName name="Schreibbereich" localSheetId="20">#REF!</definedName>
    <definedName name="sh3a1" localSheetId="2">#REF!</definedName>
    <definedName name="sh3a1" localSheetId="5">#REF!</definedName>
    <definedName name="sh3a1" localSheetId="4">#REF!</definedName>
    <definedName name="sh3a1" localSheetId="3">#REF!</definedName>
    <definedName name="sh3a1" localSheetId="6">#REF!</definedName>
    <definedName name="sh3a1" localSheetId="9">#REF!</definedName>
    <definedName name="sh3a1" localSheetId="13">#REF!</definedName>
    <definedName name="sh3a1" localSheetId="20">#REF!</definedName>
    <definedName name="sh3a2" localSheetId="2">#REF!</definedName>
    <definedName name="sh3a2" localSheetId="5">#REF!</definedName>
    <definedName name="sh3a2" localSheetId="4">#REF!</definedName>
    <definedName name="sh3a2" localSheetId="3">#REF!</definedName>
    <definedName name="sh3a2" localSheetId="6">#REF!</definedName>
    <definedName name="sh3a2" localSheetId="9">#REF!</definedName>
    <definedName name="sh3a2" localSheetId="13">#REF!</definedName>
    <definedName name="sh3a2" localSheetId="20">#REF!</definedName>
    <definedName name="STOW_NO">'[3]NEW CREW'!$B$67</definedName>
    <definedName name="SURE_NAME">[14]个人信息!$E$3:$E$42</definedName>
    <definedName name="TOATAL_RED" localSheetId="2">#REF!</definedName>
    <definedName name="TOATAL_RED" localSheetId="5">#REF!</definedName>
    <definedName name="TOATAL_RED" localSheetId="4">#REF!</definedName>
    <definedName name="TOATAL_RED" localSheetId="3">#REF!</definedName>
    <definedName name="TOATAL_RED" localSheetId="6">#REF!</definedName>
    <definedName name="TOATAL_RED" localSheetId="9">#REF!</definedName>
    <definedName name="TOATAL_RED" localSheetId="13">#REF!</definedName>
    <definedName name="TOATAL_RED" localSheetId="20">#REF!</definedName>
    <definedName name="total_deduction" localSheetId="2">#REF!</definedName>
    <definedName name="total_deduction" localSheetId="5">#REF!</definedName>
    <definedName name="total_deduction" localSheetId="4">#REF!</definedName>
    <definedName name="total_deduction" localSheetId="3">#REF!</definedName>
    <definedName name="total_deduction" localSheetId="6">#REF!</definedName>
    <definedName name="total_deduction" localSheetId="9">#REF!</definedName>
    <definedName name="total_deduction" localSheetId="13">#REF!</definedName>
    <definedName name="total_deduction" localSheetId="20">#REF!</definedName>
    <definedName name="total_due" localSheetId="2">#REF!</definedName>
    <definedName name="total_due" localSheetId="5">#REF!</definedName>
    <definedName name="total_due" localSheetId="4">#REF!</definedName>
    <definedName name="total_due" localSheetId="3">#REF!</definedName>
    <definedName name="total_due" localSheetId="6">#REF!</definedName>
    <definedName name="total_due" localSheetId="9">#REF!</definedName>
    <definedName name="total_due" localSheetId="13">#REF!</definedName>
    <definedName name="total_due" localSheetId="20">#REF!</definedName>
    <definedName name="total_earnings" localSheetId="2">#REF!</definedName>
    <definedName name="total_earnings" localSheetId="5">#REF!</definedName>
    <definedName name="total_earnings" localSheetId="4">#REF!</definedName>
    <definedName name="total_earnings" localSheetId="3">#REF!</definedName>
    <definedName name="total_earnings" localSheetId="6">#REF!</definedName>
    <definedName name="total_earnings" localSheetId="9">#REF!</definedName>
    <definedName name="total_earnings" localSheetId="13">#REF!</definedName>
    <definedName name="total_earnings" localSheetId="20">#REF!</definedName>
    <definedName name="total_income" localSheetId="2">#REF!</definedName>
    <definedName name="total_income" localSheetId="5">#REF!</definedName>
    <definedName name="total_income" localSheetId="4">#REF!</definedName>
    <definedName name="total_income" localSheetId="3">#REF!</definedName>
    <definedName name="total_income" localSheetId="6">#REF!</definedName>
    <definedName name="total_income" localSheetId="9">#REF!</definedName>
    <definedName name="total_income" localSheetId="13">#REF!</definedName>
    <definedName name="total_income" localSheetId="20">#REF!</definedName>
    <definedName name="TOTAL_VERD" localSheetId="2">#REF!</definedName>
    <definedName name="TOTAL_VERD" localSheetId="5">#REF!</definedName>
    <definedName name="TOTAL_VERD" localSheetId="4">#REF!</definedName>
    <definedName name="TOTAL_VERD" localSheetId="3">#REF!</definedName>
    <definedName name="TOTAL_VERD" localSheetId="6">#REF!</definedName>
    <definedName name="TOTAL_VERD" localSheetId="9">#REF!</definedName>
    <definedName name="TOTAL_VERD" localSheetId="13">#REF!</definedName>
    <definedName name="TOTAL_VERD" localSheetId="20">#REF!</definedName>
    <definedName name="TTL_DED." localSheetId="2">#REF!</definedName>
    <definedName name="TTL_DED." localSheetId="5">#REF!</definedName>
    <definedName name="TTL_DED." localSheetId="4">#REF!</definedName>
    <definedName name="TTL_DED." localSheetId="3">#REF!</definedName>
    <definedName name="TTL_DED." localSheetId="6">#REF!</definedName>
    <definedName name="TTL_DED." localSheetId="9">#REF!</definedName>
    <definedName name="TTL_DED." localSheetId="13">#REF!</definedName>
    <definedName name="TTL_DED." localSheetId="20">#REF!</definedName>
    <definedName name="TTL_DED_" localSheetId="2">#REF!</definedName>
    <definedName name="TTL_DED_" localSheetId="5">#REF!</definedName>
    <definedName name="TTL_DED_" localSheetId="4">#REF!</definedName>
    <definedName name="TTL_DED_" localSheetId="3">#REF!</definedName>
    <definedName name="TTL_DED_" localSheetId="6">#REF!</definedName>
    <definedName name="TTL_DED_" localSheetId="9">#REF!</definedName>
    <definedName name="TTL_DED_" localSheetId="13">#REF!</definedName>
    <definedName name="TTL_DED_" localSheetId="20">#REF!</definedName>
    <definedName name="TTL_EARN" localSheetId="2">#REF!</definedName>
    <definedName name="TTL_EARN" localSheetId="5">#REF!</definedName>
    <definedName name="TTL_EARN" localSheetId="4">#REF!</definedName>
    <definedName name="TTL_EARN" localSheetId="3">#REF!</definedName>
    <definedName name="TTL_EARN" localSheetId="6">#REF!</definedName>
    <definedName name="TTL_EARN" localSheetId="9">#REF!</definedName>
    <definedName name="TTL_EARN" localSheetId="13">#REF!</definedName>
    <definedName name="TTL_EARN" localSheetId="20">#REF!</definedName>
    <definedName name="TTL_EARN_" localSheetId="2">#REF!</definedName>
    <definedName name="TTL_EARN_" localSheetId="5">#REF!</definedName>
    <definedName name="TTL_EARN_" localSheetId="4">#REF!</definedName>
    <definedName name="TTL_EARN_" localSheetId="3">#REF!</definedName>
    <definedName name="TTL_EARN_" localSheetId="6">#REF!</definedName>
    <definedName name="TTL_EARN_" localSheetId="9">#REF!</definedName>
    <definedName name="TTL_EARN_" localSheetId="13">#REF!</definedName>
    <definedName name="TTL_EARN_" localSheetId="20">#REF!</definedName>
    <definedName name="U_S_" localSheetId="2">#REF!</definedName>
    <definedName name="U_S_" localSheetId="5">#REF!</definedName>
    <definedName name="U_S_" localSheetId="4">#REF!</definedName>
    <definedName name="U_S_" localSheetId="3">#REF!</definedName>
    <definedName name="U_S_" localSheetId="6">#REF!</definedName>
    <definedName name="U_S_" localSheetId="9">#REF!</definedName>
    <definedName name="U_S_" localSheetId="13">#REF!</definedName>
    <definedName name="U_S_" localSheetId="20">#REF!</definedName>
    <definedName name="uRLAU" localSheetId="2">#REF!</definedName>
    <definedName name="uRLAU" localSheetId="5">#REF!</definedName>
    <definedName name="uRLAU" localSheetId="4">#REF!</definedName>
    <definedName name="uRLAU" localSheetId="3">#REF!</definedName>
    <definedName name="uRLAU" localSheetId="6">#REF!</definedName>
    <definedName name="uRLAU" localSheetId="9">#REF!</definedName>
    <definedName name="uRLAU" localSheetId="13">#REF!</definedName>
    <definedName name="uRLAU" localSheetId="20">#REF!</definedName>
    <definedName name="VOLUME_OF_CARGO2">'[3]SHIP PARTICULARS'!$F$23</definedName>
    <definedName name="VoyNum" localSheetId="2">#REF!</definedName>
    <definedName name="VoyNum" localSheetId="5">#REF!</definedName>
    <definedName name="VoyNum" localSheetId="4">#REF!</definedName>
    <definedName name="VoyNum" localSheetId="3">#REF!</definedName>
    <definedName name="VoyNum" localSheetId="6">#REF!</definedName>
    <definedName name="VoyNum" localSheetId="9">#REF!</definedName>
    <definedName name="VoyNum" localSheetId="13">#REF!</definedName>
    <definedName name="VoyNum" localSheetId="20">#REF!</definedName>
    <definedName name="VslClass" localSheetId="2">#REF!</definedName>
    <definedName name="VslClass" localSheetId="5">#REF!</definedName>
    <definedName name="VslClass" localSheetId="4">#REF!</definedName>
    <definedName name="VslClass" localSheetId="3">#REF!</definedName>
    <definedName name="VslClass" localSheetId="6">#REF!</definedName>
    <definedName name="VslClass" localSheetId="9">#REF!</definedName>
    <definedName name="VslClass" localSheetId="13">#REF!</definedName>
    <definedName name="VslClass" localSheetId="20">#REF!</definedName>
    <definedName name="VSLLIST">[15]Sheet2!$A$1:$C$40</definedName>
    <definedName name="WEIGHT_OF_CARGO2">'[3]SHIP PARTICULARS'!$F$24</definedName>
    <definedName name="ZAHLE">#N/A</definedName>
  </definedNames>
  <calcPr calcId="191029"/>
</workbook>
</file>

<file path=xl/calcChain.xml><?xml version="1.0" encoding="utf-8"?>
<calcChain xmlns="http://schemas.openxmlformats.org/spreadsheetml/2006/main">
  <c r="B15" i="256" l="1"/>
  <c r="C15" i="256"/>
  <c r="D15" i="256"/>
  <c r="E15" i="256"/>
  <c r="F15" i="256"/>
  <c r="G15" i="256"/>
  <c r="H15" i="256"/>
  <c r="J15" i="256"/>
  <c r="L15" i="256"/>
  <c r="M15" i="256"/>
  <c r="B16" i="256"/>
  <c r="C16" i="256"/>
  <c r="D16" i="256"/>
  <c r="E16" i="256"/>
  <c r="F16" i="256"/>
  <c r="G16" i="256"/>
  <c r="H16" i="256"/>
  <c r="J16" i="256"/>
  <c r="L16" i="256"/>
  <c r="M16" i="256"/>
  <c r="B17" i="256"/>
  <c r="C17" i="256"/>
  <c r="D17" i="256"/>
  <c r="E17" i="256"/>
  <c r="F17" i="256"/>
  <c r="G17" i="256"/>
  <c r="H17" i="256"/>
  <c r="J17" i="256"/>
  <c r="L17" i="256"/>
  <c r="M17" i="256"/>
  <c r="B18" i="256"/>
  <c r="C18" i="256"/>
  <c r="D18" i="256"/>
  <c r="E18" i="256"/>
  <c r="F18" i="256"/>
  <c r="G18" i="256"/>
  <c r="H18" i="256"/>
  <c r="J18" i="256"/>
  <c r="L18" i="256"/>
  <c r="M18" i="256"/>
  <c r="B19" i="256"/>
  <c r="C19" i="256"/>
  <c r="D19" i="256"/>
  <c r="E19" i="256"/>
  <c r="F19" i="256"/>
  <c r="G19" i="256"/>
  <c r="H19" i="256"/>
  <c r="J19" i="256"/>
  <c r="L19" i="256"/>
  <c r="M19" i="256"/>
  <c r="B20" i="256"/>
  <c r="C20" i="256"/>
  <c r="D20" i="256"/>
  <c r="E20" i="256"/>
  <c r="F20" i="256"/>
  <c r="G20" i="256"/>
  <c r="H20" i="256"/>
  <c r="J20" i="256"/>
  <c r="L20" i="256"/>
  <c r="M20" i="256"/>
  <c r="B21" i="256"/>
  <c r="C21" i="256"/>
  <c r="D21" i="256"/>
  <c r="E21" i="256"/>
  <c r="F21" i="256"/>
  <c r="G21" i="256"/>
  <c r="H21" i="256"/>
  <c r="J21" i="256"/>
  <c r="L21" i="256"/>
  <c r="M21" i="256"/>
  <c r="B22" i="256"/>
  <c r="C22" i="256"/>
  <c r="D22" i="256"/>
  <c r="E22" i="256"/>
  <c r="F22" i="256"/>
  <c r="G22" i="256"/>
  <c r="H22" i="256"/>
  <c r="J22" i="256"/>
  <c r="L22" i="256"/>
  <c r="M22" i="256"/>
  <c r="B23" i="256"/>
  <c r="C23" i="256"/>
  <c r="D23" i="256"/>
  <c r="E23" i="256"/>
  <c r="F23" i="256"/>
  <c r="G23" i="256"/>
  <c r="H23" i="256"/>
  <c r="J23" i="256"/>
  <c r="L23" i="256"/>
  <c r="M23" i="256"/>
  <c r="B24" i="256"/>
  <c r="C24" i="256"/>
  <c r="D24" i="256"/>
  <c r="E24" i="256"/>
  <c r="F24" i="256"/>
  <c r="G24" i="256"/>
  <c r="H24" i="256"/>
  <c r="J24" i="256"/>
  <c r="L24" i="256"/>
  <c r="M24" i="256"/>
  <c r="B25" i="256"/>
  <c r="C25" i="256"/>
  <c r="D25" i="256"/>
  <c r="E25" i="256"/>
  <c r="F25" i="256"/>
  <c r="G25" i="256"/>
  <c r="H25" i="256"/>
  <c r="J25" i="256"/>
  <c r="L25" i="256"/>
  <c r="M25" i="256"/>
  <c r="B26" i="256"/>
  <c r="C26" i="256"/>
  <c r="D26" i="256"/>
  <c r="E26" i="256"/>
  <c r="F26" i="256"/>
  <c r="G26" i="256"/>
  <c r="H26" i="256"/>
  <c r="J26" i="256"/>
  <c r="L26" i="256"/>
  <c r="M26" i="256"/>
  <c r="B27" i="256"/>
  <c r="C27" i="256"/>
  <c r="D27" i="256"/>
  <c r="E27" i="256"/>
  <c r="F27" i="256"/>
  <c r="G27" i="256"/>
  <c r="H27" i="256"/>
  <c r="J27" i="256"/>
  <c r="L27" i="256"/>
  <c r="M27" i="256"/>
  <c r="B28" i="256"/>
  <c r="C28" i="256"/>
  <c r="D28" i="256"/>
  <c r="E28" i="256"/>
  <c r="F28" i="256"/>
  <c r="G28" i="256"/>
  <c r="H28" i="256"/>
  <c r="J28" i="256"/>
  <c r="L28" i="256"/>
  <c r="M28" i="256"/>
  <c r="B29" i="256"/>
  <c r="C29" i="256"/>
  <c r="D29" i="256"/>
  <c r="E29" i="256"/>
  <c r="F29" i="256"/>
  <c r="G29" i="256"/>
  <c r="H29" i="256"/>
  <c r="J29" i="256"/>
  <c r="L29" i="256"/>
  <c r="M29" i="256"/>
  <c r="B30" i="256"/>
  <c r="C30" i="256"/>
  <c r="D30" i="256"/>
  <c r="E30" i="256"/>
  <c r="F30" i="256"/>
  <c r="G30" i="256"/>
  <c r="H30" i="256"/>
  <c r="J30" i="256"/>
  <c r="L30" i="256"/>
  <c r="M30" i="256"/>
  <c r="B31" i="256"/>
  <c r="C31" i="256"/>
  <c r="D31" i="256"/>
  <c r="E31" i="256"/>
  <c r="F31" i="256"/>
  <c r="G31" i="256"/>
  <c r="H31" i="256"/>
  <c r="J31" i="256"/>
  <c r="L31" i="256"/>
  <c r="M31" i="256"/>
  <c r="B32" i="256"/>
  <c r="C32" i="256"/>
  <c r="D32" i="256"/>
  <c r="E32" i="256"/>
  <c r="F32" i="256"/>
  <c r="G32" i="256"/>
  <c r="H32" i="256"/>
  <c r="J32" i="256"/>
  <c r="L32" i="256"/>
  <c r="M32" i="256"/>
  <c r="B33" i="256"/>
  <c r="C33" i="256"/>
  <c r="D33" i="256"/>
  <c r="E33" i="256"/>
  <c r="F33" i="256"/>
  <c r="G33" i="256"/>
  <c r="H33" i="256"/>
  <c r="J33" i="256"/>
  <c r="L33" i="256"/>
  <c r="M33" i="256"/>
  <c r="B34" i="256"/>
  <c r="C34" i="256"/>
  <c r="D34" i="256"/>
  <c r="E34" i="256"/>
  <c r="F34" i="256"/>
  <c r="G34" i="256"/>
  <c r="H34" i="256"/>
  <c r="J34" i="256"/>
  <c r="L34" i="256"/>
  <c r="M34" i="256"/>
  <c r="B35" i="256"/>
  <c r="C35" i="256"/>
  <c r="D35" i="256"/>
  <c r="E35" i="256"/>
  <c r="F35" i="256"/>
  <c r="G35" i="256"/>
  <c r="H35" i="256"/>
  <c r="J35" i="256"/>
  <c r="L35" i="256"/>
  <c r="M35" i="256"/>
  <c r="B36" i="256"/>
  <c r="C36" i="256"/>
  <c r="D36" i="256"/>
  <c r="E36" i="256"/>
  <c r="F36" i="256"/>
  <c r="G36" i="256"/>
  <c r="H36" i="256"/>
  <c r="J36" i="256"/>
  <c r="L36" i="256"/>
  <c r="M36" i="256"/>
  <c r="B37" i="256"/>
  <c r="C37" i="256"/>
  <c r="D37" i="256"/>
  <c r="E37" i="256"/>
  <c r="F37" i="256"/>
  <c r="G37" i="256"/>
  <c r="H37" i="256"/>
  <c r="J37" i="256"/>
  <c r="L37" i="256"/>
  <c r="M37" i="256"/>
  <c r="B38" i="256"/>
  <c r="C38" i="256"/>
  <c r="D38" i="256"/>
  <c r="E38" i="256"/>
  <c r="F38" i="256"/>
  <c r="G38" i="256"/>
  <c r="H38" i="256"/>
  <c r="J38" i="256"/>
  <c r="L38" i="256"/>
  <c r="M38" i="256"/>
  <c r="B39" i="256"/>
  <c r="C39" i="256"/>
  <c r="D39" i="256"/>
  <c r="E39" i="256"/>
  <c r="F39" i="256"/>
  <c r="G39" i="256"/>
  <c r="H39" i="256"/>
  <c r="J39" i="256"/>
  <c r="L39" i="256"/>
  <c r="M39" i="256"/>
  <c r="B40" i="256"/>
  <c r="C40" i="256"/>
  <c r="D40" i="256"/>
  <c r="E40" i="256"/>
  <c r="F40" i="256"/>
  <c r="G40" i="256"/>
  <c r="H40" i="256"/>
  <c r="J40" i="256"/>
  <c r="L40" i="256"/>
  <c r="M40" i="256"/>
  <c r="B41" i="256"/>
  <c r="C41" i="256"/>
  <c r="D41" i="256"/>
  <c r="E41" i="256"/>
  <c r="F41" i="256"/>
  <c r="G41" i="256"/>
  <c r="H41" i="256"/>
  <c r="J41" i="256"/>
  <c r="L41" i="256"/>
  <c r="M41" i="256"/>
  <c r="B42" i="256"/>
  <c r="C42" i="256"/>
  <c r="D42" i="256"/>
  <c r="E42" i="256"/>
  <c r="F42" i="256"/>
  <c r="G42" i="256"/>
  <c r="H42" i="256"/>
  <c r="J42" i="256"/>
  <c r="L42" i="256"/>
  <c r="M42" i="256"/>
  <c r="B15" i="249" l="1"/>
  <c r="C15" i="249"/>
  <c r="D15" i="249"/>
  <c r="E15" i="249"/>
  <c r="F15" i="249"/>
  <c r="G15" i="249"/>
  <c r="H15" i="249"/>
  <c r="J15" i="249"/>
  <c r="L15" i="249"/>
  <c r="M15" i="249"/>
  <c r="N15" i="249"/>
  <c r="B16" i="249"/>
  <c r="C16" i="249"/>
  <c r="D16" i="249"/>
  <c r="E16" i="249"/>
  <c r="F16" i="249"/>
  <c r="G16" i="249"/>
  <c r="H16" i="249"/>
  <c r="J16" i="249"/>
  <c r="L16" i="249"/>
  <c r="M16" i="249"/>
  <c r="N16" i="249"/>
  <c r="B17" i="249"/>
  <c r="C17" i="249"/>
  <c r="D17" i="249"/>
  <c r="E17" i="249"/>
  <c r="F17" i="249"/>
  <c r="G17" i="249"/>
  <c r="H17" i="249"/>
  <c r="J17" i="249"/>
  <c r="L17" i="249"/>
  <c r="M17" i="249"/>
  <c r="N17" i="249"/>
  <c r="B18" i="249"/>
  <c r="C18" i="249"/>
  <c r="D18" i="249"/>
  <c r="E18" i="249"/>
  <c r="F18" i="249"/>
  <c r="G18" i="249"/>
  <c r="H18" i="249"/>
  <c r="J18" i="249"/>
  <c r="L18" i="249"/>
  <c r="M18" i="249"/>
  <c r="N18" i="249"/>
  <c r="B19" i="249"/>
  <c r="C19" i="249"/>
  <c r="D19" i="249"/>
  <c r="E19" i="249"/>
  <c r="F19" i="249"/>
  <c r="G19" i="249"/>
  <c r="H19" i="249"/>
  <c r="J19" i="249"/>
  <c r="L19" i="249"/>
  <c r="M19" i="249"/>
  <c r="N19" i="249"/>
  <c r="B20" i="249"/>
  <c r="C20" i="249"/>
  <c r="D20" i="249"/>
  <c r="E20" i="249"/>
  <c r="F20" i="249"/>
  <c r="G20" i="249"/>
  <c r="H20" i="249"/>
  <c r="J20" i="249"/>
  <c r="L20" i="249"/>
  <c r="M20" i="249"/>
  <c r="N20" i="249"/>
  <c r="B21" i="249"/>
  <c r="C21" i="249"/>
  <c r="D21" i="249"/>
  <c r="E21" i="249"/>
  <c r="F21" i="249"/>
  <c r="G21" i="249"/>
  <c r="H21" i="249"/>
  <c r="J21" i="249"/>
  <c r="L21" i="249"/>
  <c r="M21" i="249"/>
  <c r="N21" i="249"/>
  <c r="B22" i="249"/>
  <c r="C22" i="249"/>
  <c r="D22" i="249"/>
  <c r="E22" i="249"/>
  <c r="F22" i="249"/>
  <c r="G22" i="249"/>
  <c r="H22" i="249"/>
  <c r="J22" i="249"/>
  <c r="L22" i="249"/>
  <c r="M22" i="249"/>
  <c r="N22" i="249"/>
  <c r="B23" i="249"/>
  <c r="C23" i="249"/>
  <c r="D23" i="249"/>
  <c r="E23" i="249"/>
  <c r="F23" i="249"/>
  <c r="G23" i="249"/>
  <c r="H23" i="249"/>
  <c r="J23" i="249"/>
  <c r="L23" i="249"/>
  <c r="M23" i="249"/>
  <c r="N23" i="249"/>
  <c r="B24" i="249"/>
  <c r="C24" i="249"/>
  <c r="D24" i="249"/>
  <c r="E24" i="249"/>
  <c r="F24" i="249"/>
  <c r="G24" i="249"/>
  <c r="H24" i="249"/>
  <c r="J24" i="249"/>
  <c r="L24" i="249"/>
  <c r="M24" i="249"/>
  <c r="N24" i="249"/>
  <c r="B25" i="249"/>
  <c r="C25" i="249"/>
  <c r="D25" i="249"/>
  <c r="E25" i="249"/>
  <c r="F25" i="249"/>
  <c r="G25" i="249"/>
  <c r="H25" i="249"/>
  <c r="J25" i="249"/>
  <c r="L25" i="249"/>
  <c r="M25" i="249"/>
  <c r="N25" i="249"/>
  <c r="B26" i="249"/>
  <c r="C26" i="249"/>
  <c r="D26" i="249"/>
  <c r="E26" i="249"/>
  <c r="F26" i="249"/>
  <c r="G26" i="249"/>
  <c r="H26" i="249"/>
  <c r="J26" i="249"/>
  <c r="L26" i="249"/>
  <c r="M26" i="249"/>
  <c r="N26" i="249"/>
  <c r="B27" i="249"/>
  <c r="C27" i="249"/>
  <c r="D27" i="249"/>
  <c r="E27" i="249"/>
  <c r="F27" i="249"/>
  <c r="G27" i="249"/>
  <c r="H27" i="249"/>
  <c r="J27" i="249"/>
  <c r="L27" i="249"/>
  <c r="M27" i="249"/>
  <c r="N27" i="249"/>
  <c r="B28" i="249"/>
  <c r="C28" i="249"/>
  <c r="D28" i="249"/>
  <c r="E28" i="249"/>
  <c r="F28" i="249"/>
  <c r="G28" i="249"/>
  <c r="H28" i="249"/>
  <c r="J28" i="249"/>
  <c r="L28" i="249"/>
  <c r="M28" i="249"/>
  <c r="N28" i="249"/>
  <c r="B29" i="249"/>
  <c r="C29" i="249"/>
  <c r="D29" i="249"/>
  <c r="E29" i="249"/>
  <c r="F29" i="249"/>
  <c r="G29" i="249"/>
  <c r="H29" i="249"/>
  <c r="J29" i="249"/>
  <c r="L29" i="249"/>
  <c r="M29" i="249"/>
  <c r="N29" i="249"/>
  <c r="B30" i="249"/>
  <c r="C30" i="249"/>
  <c r="D30" i="249"/>
  <c r="E30" i="249"/>
  <c r="F30" i="249"/>
  <c r="G30" i="249"/>
  <c r="H30" i="249"/>
  <c r="J30" i="249"/>
  <c r="L30" i="249"/>
  <c r="M30" i="249"/>
  <c r="N30" i="249"/>
  <c r="B31" i="249"/>
  <c r="C31" i="249"/>
  <c r="D31" i="249"/>
  <c r="E31" i="249"/>
  <c r="F31" i="249"/>
  <c r="G31" i="249"/>
  <c r="H31" i="249"/>
  <c r="J31" i="249"/>
  <c r="L31" i="249"/>
  <c r="M31" i="249"/>
  <c r="N31" i="249"/>
  <c r="B32" i="249"/>
  <c r="C32" i="249"/>
  <c r="D32" i="249"/>
  <c r="E32" i="249"/>
  <c r="F32" i="249"/>
  <c r="G32" i="249"/>
  <c r="H32" i="249"/>
  <c r="J32" i="249"/>
  <c r="L32" i="249"/>
  <c r="M32" i="249"/>
  <c r="N32" i="249"/>
  <c r="B33" i="249"/>
  <c r="C33" i="249"/>
  <c r="D33" i="249"/>
  <c r="E33" i="249"/>
  <c r="F33" i="249"/>
  <c r="G33" i="249"/>
  <c r="H33" i="249"/>
  <c r="J33" i="249"/>
  <c r="L33" i="249"/>
  <c r="M33" i="249"/>
  <c r="N33" i="249"/>
  <c r="B34" i="249"/>
  <c r="C34" i="249"/>
  <c r="D34" i="249"/>
  <c r="E34" i="249"/>
  <c r="F34" i="249"/>
  <c r="G34" i="249"/>
  <c r="H34" i="249"/>
  <c r="J34" i="249"/>
  <c r="L34" i="249"/>
  <c r="M34" i="249"/>
  <c r="N34" i="249"/>
  <c r="B35" i="249"/>
  <c r="C35" i="249"/>
  <c r="D35" i="249"/>
  <c r="E35" i="249"/>
  <c r="F35" i="249"/>
  <c r="G35" i="249"/>
  <c r="H35" i="249"/>
  <c r="J35" i="249"/>
  <c r="L35" i="249"/>
  <c r="M35" i="249"/>
  <c r="N35" i="249"/>
  <c r="B36" i="249"/>
  <c r="C36" i="249"/>
  <c r="D36" i="249"/>
  <c r="E36" i="249"/>
  <c r="F36" i="249"/>
  <c r="G36" i="249"/>
  <c r="H36" i="249"/>
  <c r="J36" i="249"/>
  <c r="L36" i="249"/>
  <c r="M36" i="249"/>
  <c r="N36" i="249"/>
  <c r="B37" i="249"/>
  <c r="C37" i="249"/>
  <c r="D37" i="249"/>
  <c r="E37" i="249"/>
  <c r="F37" i="249"/>
  <c r="G37" i="249"/>
  <c r="H37" i="249"/>
  <c r="J37" i="249"/>
  <c r="L37" i="249"/>
  <c r="M37" i="249"/>
  <c r="N37" i="249"/>
  <c r="B38" i="249"/>
  <c r="C38" i="249"/>
  <c r="D38" i="249"/>
  <c r="E38" i="249"/>
  <c r="F38" i="249"/>
  <c r="G38" i="249"/>
  <c r="H38" i="249"/>
  <c r="J38" i="249"/>
  <c r="L38" i="249"/>
  <c r="M38" i="249"/>
  <c r="N38" i="249"/>
  <c r="B39" i="249"/>
  <c r="C39" i="249"/>
  <c r="D39" i="249"/>
  <c r="E39" i="249"/>
  <c r="F39" i="249"/>
  <c r="G39" i="249"/>
  <c r="H39" i="249"/>
  <c r="J39" i="249"/>
  <c r="L39" i="249"/>
  <c r="M39" i="249"/>
  <c r="N39" i="249"/>
  <c r="B40" i="249"/>
  <c r="C40" i="249"/>
  <c r="D40" i="249"/>
  <c r="E40" i="249"/>
  <c r="F40" i="249"/>
  <c r="G40" i="249"/>
  <c r="H40" i="249"/>
  <c r="J40" i="249"/>
  <c r="L40" i="249"/>
  <c r="M40" i="249"/>
  <c r="N40" i="249"/>
  <c r="B41" i="249"/>
  <c r="C41" i="249"/>
  <c r="D41" i="249"/>
  <c r="E41" i="249"/>
  <c r="F41" i="249"/>
  <c r="G41" i="249"/>
  <c r="H41" i="249"/>
  <c r="J41" i="249"/>
  <c r="L41" i="249"/>
  <c r="M41" i="249"/>
  <c r="N41" i="249"/>
  <c r="B42" i="249"/>
  <c r="C42" i="249"/>
  <c r="D42" i="249"/>
  <c r="E42" i="249"/>
  <c r="F42" i="249"/>
  <c r="G42" i="249"/>
  <c r="H42" i="249"/>
  <c r="J42" i="249"/>
  <c r="L42" i="249"/>
  <c r="M42" i="249"/>
  <c r="N42" i="249"/>
  <c r="B15" i="255" l="1"/>
  <c r="C15" i="255"/>
  <c r="D15" i="255"/>
  <c r="E15" i="255"/>
  <c r="F15" i="255"/>
  <c r="G15" i="255"/>
  <c r="H15" i="255"/>
  <c r="J15" i="255"/>
  <c r="L15" i="255"/>
  <c r="B16" i="255"/>
  <c r="C16" i="255"/>
  <c r="D16" i="255"/>
  <c r="E16" i="255"/>
  <c r="F16" i="255"/>
  <c r="G16" i="255"/>
  <c r="H16" i="255"/>
  <c r="J16" i="255"/>
  <c r="L16" i="255"/>
  <c r="B17" i="255"/>
  <c r="C17" i="255"/>
  <c r="D17" i="255"/>
  <c r="E17" i="255"/>
  <c r="F17" i="255"/>
  <c r="G17" i="255"/>
  <c r="H17" i="255"/>
  <c r="J17" i="255"/>
  <c r="L17" i="255"/>
  <c r="B18" i="255"/>
  <c r="C18" i="255"/>
  <c r="D18" i="255"/>
  <c r="E18" i="255"/>
  <c r="F18" i="255"/>
  <c r="G18" i="255"/>
  <c r="H18" i="255"/>
  <c r="J18" i="255"/>
  <c r="L18" i="255"/>
  <c r="B19" i="255"/>
  <c r="C19" i="255"/>
  <c r="D19" i="255"/>
  <c r="E19" i="255"/>
  <c r="F19" i="255"/>
  <c r="G19" i="255"/>
  <c r="H19" i="255"/>
  <c r="J19" i="255"/>
  <c r="L19" i="255"/>
  <c r="B20" i="255"/>
  <c r="C20" i="255"/>
  <c r="D20" i="255"/>
  <c r="E20" i="255"/>
  <c r="F20" i="255"/>
  <c r="G20" i="255"/>
  <c r="H20" i="255"/>
  <c r="J20" i="255"/>
  <c r="L20" i="255"/>
  <c r="B21" i="255"/>
  <c r="C21" i="255"/>
  <c r="D21" i="255"/>
  <c r="E21" i="255"/>
  <c r="F21" i="255"/>
  <c r="G21" i="255"/>
  <c r="H21" i="255"/>
  <c r="J21" i="255"/>
  <c r="L21" i="255"/>
  <c r="B22" i="255"/>
  <c r="C22" i="255"/>
  <c r="D22" i="255"/>
  <c r="E22" i="255"/>
  <c r="F22" i="255"/>
  <c r="G22" i="255"/>
  <c r="H22" i="255"/>
  <c r="J22" i="255"/>
  <c r="L22" i="255"/>
  <c r="B23" i="255"/>
  <c r="C23" i="255"/>
  <c r="D23" i="255"/>
  <c r="E23" i="255"/>
  <c r="F23" i="255"/>
  <c r="G23" i="255"/>
  <c r="H23" i="255"/>
  <c r="J23" i="255"/>
  <c r="L23" i="255"/>
  <c r="B24" i="255"/>
  <c r="C24" i="255"/>
  <c r="D24" i="255"/>
  <c r="E24" i="255"/>
  <c r="F24" i="255"/>
  <c r="G24" i="255"/>
  <c r="H24" i="255"/>
  <c r="J24" i="255"/>
  <c r="L24" i="255"/>
  <c r="B25" i="255"/>
  <c r="C25" i="255"/>
  <c r="D25" i="255"/>
  <c r="E25" i="255"/>
  <c r="F25" i="255"/>
  <c r="G25" i="255"/>
  <c r="H25" i="255"/>
  <c r="J25" i="255"/>
  <c r="L25" i="255"/>
  <c r="B26" i="255"/>
  <c r="C26" i="255"/>
  <c r="D26" i="255"/>
  <c r="E26" i="255"/>
  <c r="F26" i="255"/>
  <c r="G26" i="255"/>
  <c r="H26" i="255"/>
  <c r="J26" i="255"/>
  <c r="L26" i="255"/>
  <c r="B27" i="255"/>
  <c r="C27" i="255"/>
  <c r="D27" i="255"/>
  <c r="E27" i="255"/>
  <c r="F27" i="255"/>
  <c r="G27" i="255"/>
  <c r="H27" i="255"/>
  <c r="J27" i="255"/>
  <c r="L27" i="255"/>
  <c r="B28" i="255"/>
  <c r="C28" i="255"/>
  <c r="D28" i="255"/>
  <c r="E28" i="255"/>
  <c r="F28" i="255"/>
  <c r="G28" i="255"/>
  <c r="H28" i="255"/>
  <c r="J28" i="255"/>
  <c r="L28" i="255"/>
  <c r="B29" i="255"/>
  <c r="C29" i="255"/>
  <c r="D29" i="255"/>
  <c r="E29" i="255"/>
  <c r="F29" i="255"/>
  <c r="G29" i="255"/>
  <c r="H29" i="255"/>
  <c r="J29" i="255"/>
  <c r="L29" i="255"/>
  <c r="B30" i="255"/>
  <c r="C30" i="255"/>
  <c r="D30" i="255"/>
  <c r="E30" i="255"/>
  <c r="F30" i="255"/>
  <c r="G30" i="255"/>
  <c r="H30" i="255"/>
  <c r="J30" i="255"/>
  <c r="L30" i="255"/>
  <c r="B31" i="255"/>
  <c r="C31" i="255"/>
  <c r="D31" i="255"/>
  <c r="E31" i="255"/>
  <c r="F31" i="255"/>
  <c r="G31" i="255"/>
  <c r="H31" i="255"/>
  <c r="J31" i="255"/>
  <c r="L31" i="255"/>
  <c r="B32" i="255"/>
  <c r="C32" i="255"/>
  <c r="D32" i="255"/>
  <c r="E32" i="255"/>
  <c r="F32" i="255"/>
  <c r="G32" i="255"/>
  <c r="H32" i="255"/>
  <c r="J32" i="255"/>
  <c r="L32" i="255"/>
  <c r="B33" i="255"/>
  <c r="C33" i="255"/>
  <c r="D33" i="255"/>
  <c r="E33" i="255"/>
  <c r="F33" i="255"/>
  <c r="G33" i="255"/>
  <c r="H33" i="255"/>
  <c r="J33" i="255"/>
  <c r="L33" i="255"/>
  <c r="B34" i="255"/>
  <c r="C34" i="255"/>
  <c r="D34" i="255"/>
  <c r="E34" i="255"/>
  <c r="F34" i="255"/>
  <c r="G34" i="255"/>
  <c r="H34" i="255"/>
  <c r="J34" i="255"/>
  <c r="L34" i="255"/>
  <c r="B35" i="255"/>
  <c r="C35" i="255"/>
  <c r="D35" i="255"/>
  <c r="E35" i="255"/>
  <c r="F35" i="255"/>
  <c r="G35" i="255"/>
  <c r="H35" i="255"/>
  <c r="J35" i="255"/>
  <c r="L35" i="255"/>
  <c r="B36" i="255"/>
  <c r="C36" i="255"/>
  <c r="D36" i="255"/>
  <c r="E36" i="255"/>
  <c r="F36" i="255"/>
  <c r="G36" i="255"/>
  <c r="H36" i="255"/>
  <c r="J36" i="255"/>
  <c r="L36" i="255"/>
  <c r="B37" i="255"/>
  <c r="C37" i="255"/>
  <c r="D37" i="255"/>
  <c r="E37" i="255"/>
  <c r="F37" i="255"/>
  <c r="G37" i="255"/>
  <c r="H37" i="255"/>
  <c r="J37" i="255"/>
  <c r="L37" i="255"/>
  <c r="B38" i="255"/>
  <c r="C38" i="255"/>
  <c r="D38" i="255"/>
  <c r="E38" i="255"/>
  <c r="F38" i="255"/>
  <c r="G38" i="255"/>
  <c r="H38" i="255"/>
  <c r="J38" i="255"/>
  <c r="L38" i="255"/>
  <c r="B39" i="255"/>
  <c r="C39" i="255"/>
  <c r="D39" i="255"/>
  <c r="E39" i="255"/>
  <c r="F39" i="255"/>
  <c r="G39" i="255"/>
  <c r="H39" i="255"/>
  <c r="J39" i="255"/>
  <c r="L39" i="255"/>
  <c r="B40" i="255"/>
  <c r="C40" i="255"/>
  <c r="D40" i="255"/>
  <c r="E40" i="255"/>
  <c r="F40" i="255"/>
  <c r="G40" i="255"/>
  <c r="H40" i="255"/>
  <c r="J40" i="255"/>
  <c r="L40" i="255"/>
  <c r="B41" i="255"/>
  <c r="C41" i="255"/>
  <c r="D41" i="255"/>
  <c r="E41" i="255"/>
  <c r="F41" i="255"/>
  <c r="G41" i="255"/>
  <c r="H41" i="255"/>
  <c r="J41" i="255"/>
  <c r="L41" i="255"/>
  <c r="B42" i="255"/>
  <c r="C42" i="255"/>
  <c r="D42" i="255"/>
  <c r="E42" i="255"/>
  <c r="F42" i="255"/>
  <c r="G42" i="255"/>
  <c r="H42" i="255"/>
  <c r="J42" i="255"/>
  <c r="L42" i="255"/>
  <c r="C11" i="245"/>
  <c r="D11" i="245"/>
  <c r="E11" i="245"/>
  <c r="F11" i="245"/>
  <c r="G11" i="245"/>
  <c r="H11" i="245"/>
  <c r="I11" i="245"/>
  <c r="J11" i="245"/>
  <c r="K11" i="245"/>
  <c r="C12" i="245"/>
  <c r="D12" i="245"/>
  <c r="E12" i="245"/>
  <c r="F12" i="245"/>
  <c r="G12" i="245"/>
  <c r="H12" i="245"/>
  <c r="I12" i="245"/>
  <c r="J12" i="245"/>
  <c r="K12" i="245"/>
  <c r="C13" i="245"/>
  <c r="D13" i="245"/>
  <c r="E13" i="245"/>
  <c r="F13" i="245"/>
  <c r="G13" i="245"/>
  <c r="H13" i="245"/>
  <c r="I13" i="245"/>
  <c r="J13" i="245"/>
  <c r="K13" i="245"/>
  <c r="C14" i="245"/>
  <c r="D14" i="245"/>
  <c r="E14" i="245"/>
  <c r="F14" i="245"/>
  <c r="G14" i="245"/>
  <c r="H14" i="245"/>
  <c r="I14" i="245"/>
  <c r="J14" i="245"/>
  <c r="K14" i="245"/>
  <c r="C15" i="245"/>
  <c r="D15" i="245"/>
  <c r="E15" i="245"/>
  <c r="F15" i="245"/>
  <c r="G15" i="245"/>
  <c r="H15" i="245"/>
  <c r="I15" i="245"/>
  <c r="J15" i="245"/>
  <c r="K15" i="245"/>
  <c r="C16" i="245"/>
  <c r="D16" i="245"/>
  <c r="E16" i="245"/>
  <c r="F16" i="245"/>
  <c r="G16" i="245"/>
  <c r="H16" i="245"/>
  <c r="I16" i="245"/>
  <c r="J16" i="245"/>
  <c r="K16" i="245"/>
  <c r="C17" i="245"/>
  <c r="D17" i="245"/>
  <c r="E17" i="245"/>
  <c r="F17" i="245"/>
  <c r="G17" i="245"/>
  <c r="H17" i="245"/>
  <c r="I17" i="245"/>
  <c r="J17" i="245"/>
  <c r="K17" i="245"/>
  <c r="C18" i="245"/>
  <c r="D18" i="245"/>
  <c r="E18" i="245"/>
  <c r="F18" i="245"/>
  <c r="G18" i="245"/>
  <c r="H18" i="245"/>
  <c r="I18" i="245"/>
  <c r="J18" i="245"/>
  <c r="K18" i="245"/>
  <c r="C19" i="245"/>
  <c r="D19" i="245"/>
  <c r="E19" i="245"/>
  <c r="F19" i="245"/>
  <c r="G19" i="245"/>
  <c r="H19" i="245"/>
  <c r="I19" i="245"/>
  <c r="J19" i="245"/>
  <c r="K19" i="245"/>
  <c r="C20" i="245"/>
  <c r="D20" i="245"/>
  <c r="E20" i="245"/>
  <c r="F20" i="245"/>
  <c r="G20" i="245"/>
  <c r="H20" i="245"/>
  <c r="I20" i="245"/>
  <c r="J20" i="245"/>
  <c r="K20" i="245"/>
  <c r="C10" i="245"/>
  <c r="D10" i="245"/>
  <c r="E10" i="245"/>
  <c r="F10" i="245"/>
  <c r="G10" i="245"/>
  <c r="H10" i="245"/>
  <c r="I10" i="245"/>
  <c r="J10" i="245"/>
  <c r="K10" i="245"/>
  <c r="F38" i="250" l="1"/>
  <c r="E38" i="250"/>
  <c r="C38" i="250"/>
  <c r="B38" i="250"/>
  <c r="F37" i="250"/>
  <c r="E37" i="250"/>
  <c r="C37" i="250"/>
  <c r="B37" i="250"/>
  <c r="F36" i="250"/>
  <c r="E36" i="250"/>
  <c r="C36" i="250"/>
  <c r="B36" i="250"/>
  <c r="F35" i="250"/>
  <c r="E35" i="250"/>
  <c r="C35" i="250"/>
  <c r="B35" i="250"/>
  <c r="F34" i="250"/>
  <c r="E34" i="250"/>
  <c r="C34" i="250"/>
  <c r="B34" i="250"/>
  <c r="F33" i="250"/>
  <c r="E33" i="250"/>
  <c r="C33" i="250"/>
  <c r="B33" i="250"/>
  <c r="F32" i="250"/>
  <c r="E32" i="250"/>
  <c r="C32" i="250"/>
  <c r="B32" i="250"/>
  <c r="F31" i="250"/>
  <c r="E31" i="250"/>
  <c r="C31" i="250"/>
  <c r="B31" i="250"/>
  <c r="F30" i="250"/>
  <c r="E30" i="250"/>
  <c r="C30" i="250"/>
  <c r="B30" i="250"/>
  <c r="F29" i="250"/>
  <c r="E29" i="250"/>
  <c r="C29" i="250"/>
  <c r="B29" i="250"/>
  <c r="F28" i="250"/>
  <c r="E28" i="250"/>
  <c r="C28" i="250"/>
  <c r="B28" i="250"/>
  <c r="F27" i="250"/>
  <c r="E27" i="250"/>
  <c r="C27" i="250"/>
  <c r="B27" i="250"/>
  <c r="F26" i="250"/>
  <c r="E26" i="250"/>
  <c r="C26" i="250"/>
  <c r="B26" i="250"/>
  <c r="F25" i="250"/>
  <c r="E25" i="250"/>
  <c r="C25" i="250"/>
  <c r="B25" i="250"/>
  <c r="F24" i="250"/>
  <c r="E24" i="250"/>
  <c r="C24" i="250"/>
  <c r="B24" i="250"/>
  <c r="F23" i="250"/>
  <c r="E23" i="250"/>
  <c r="C23" i="250"/>
  <c r="B23" i="250"/>
  <c r="F22" i="250"/>
  <c r="E22" i="250"/>
  <c r="C22" i="250"/>
  <c r="B22" i="250"/>
  <c r="F21" i="250"/>
  <c r="E21" i="250"/>
  <c r="C21" i="250"/>
  <c r="B21" i="250"/>
  <c r="F20" i="250"/>
  <c r="E20" i="250"/>
  <c r="C20" i="250"/>
  <c r="B20" i="250"/>
  <c r="F19" i="250"/>
  <c r="E19" i="250"/>
  <c r="C19" i="250"/>
  <c r="B19" i="250"/>
  <c r="F18" i="250"/>
  <c r="E18" i="250"/>
  <c r="C18" i="250"/>
  <c r="B18" i="250"/>
  <c r="F17" i="250"/>
  <c r="E17" i="250"/>
  <c r="C17" i="250"/>
  <c r="B17" i="250"/>
  <c r="F16" i="250"/>
  <c r="E16" i="250"/>
  <c r="C16" i="250"/>
  <c r="B16" i="250"/>
  <c r="F15" i="250"/>
  <c r="E15" i="250"/>
  <c r="C15" i="250"/>
  <c r="B15" i="250"/>
  <c r="F14" i="250"/>
  <c r="E14" i="250"/>
  <c r="C14" i="250"/>
  <c r="B14" i="250"/>
  <c r="F13" i="250"/>
  <c r="E13" i="250"/>
  <c r="C13" i="250"/>
  <c r="B13" i="250"/>
  <c r="F12" i="250"/>
  <c r="E12" i="250"/>
  <c r="C12" i="250"/>
  <c r="B12" i="250"/>
  <c r="I7" i="225" l="1"/>
  <c r="B15" i="225" l="1"/>
  <c r="C15" i="225"/>
  <c r="D15" i="225"/>
  <c r="E15" i="225"/>
  <c r="F15" i="225"/>
  <c r="G15" i="225"/>
  <c r="H15" i="225"/>
  <c r="J15" i="225"/>
  <c r="L15" i="225"/>
  <c r="M15" i="225"/>
  <c r="N15" i="225"/>
  <c r="B16" i="225"/>
  <c r="C16" i="225"/>
  <c r="D16" i="225"/>
  <c r="E16" i="225"/>
  <c r="F16" i="225"/>
  <c r="G16" i="225"/>
  <c r="H16" i="225"/>
  <c r="J16" i="225"/>
  <c r="L16" i="225"/>
  <c r="M16" i="225"/>
  <c r="N16" i="225"/>
  <c r="B17" i="225"/>
  <c r="C17" i="225"/>
  <c r="D17" i="225"/>
  <c r="E17" i="225"/>
  <c r="F17" i="225"/>
  <c r="G17" i="225"/>
  <c r="H17" i="225"/>
  <c r="J17" i="225"/>
  <c r="L17" i="225"/>
  <c r="M17" i="225"/>
  <c r="N17" i="225"/>
  <c r="B18" i="225"/>
  <c r="C18" i="225"/>
  <c r="D18" i="225"/>
  <c r="E18" i="225"/>
  <c r="F18" i="225"/>
  <c r="G18" i="225"/>
  <c r="H18" i="225"/>
  <c r="J18" i="225"/>
  <c r="L18" i="225"/>
  <c r="M18" i="225"/>
  <c r="N18" i="225"/>
  <c r="B19" i="225"/>
  <c r="C19" i="225"/>
  <c r="D19" i="225"/>
  <c r="E19" i="225"/>
  <c r="F19" i="225"/>
  <c r="G19" i="225"/>
  <c r="H19" i="225"/>
  <c r="J19" i="225"/>
  <c r="L19" i="225"/>
  <c r="M19" i="225"/>
  <c r="N19" i="225"/>
  <c r="B20" i="225"/>
  <c r="C20" i="225"/>
  <c r="D20" i="225"/>
  <c r="E20" i="225"/>
  <c r="F20" i="225"/>
  <c r="G20" i="225"/>
  <c r="H20" i="225"/>
  <c r="J20" i="225"/>
  <c r="L20" i="225"/>
  <c r="M20" i="225"/>
  <c r="N20" i="225"/>
  <c r="B21" i="225"/>
  <c r="C21" i="225"/>
  <c r="D21" i="225"/>
  <c r="E21" i="225"/>
  <c r="F21" i="225"/>
  <c r="G21" i="225"/>
  <c r="H21" i="225"/>
  <c r="J21" i="225"/>
  <c r="L21" i="225"/>
  <c r="M21" i="225"/>
  <c r="N21" i="225"/>
  <c r="B22" i="225"/>
  <c r="C22" i="225"/>
  <c r="D22" i="225"/>
  <c r="E22" i="225"/>
  <c r="F22" i="225"/>
  <c r="G22" i="225"/>
  <c r="H22" i="225"/>
  <c r="J22" i="225"/>
  <c r="L22" i="225"/>
  <c r="M22" i="225"/>
  <c r="N22" i="225"/>
  <c r="B23" i="225"/>
  <c r="C23" i="225"/>
  <c r="D23" i="225"/>
  <c r="E23" i="225"/>
  <c r="F23" i="225"/>
  <c r="G23" i="225"/>
  <c r="H23" i="225"/>
  <c r="J23" i="225"/>
  <c r="L23" i="225"/>
  <c r="M23" i="225"/>
  <c r="N23" i="225"/>
  <c r="B24" i="225"/>
  <c r="C24" i="225"/>
  <c r="D24" i="225"/>
  <c r="E24" i="225"/>
  <c r="F24" i="225"/>
  <c r="G24" i="225"/>
  <c r="H24" i="225"/>
  <c r="J24" i="225"/>
  <c r="L24" i="225"/>
  <c r="M24" i="225"/>
  <c r="N24" i="225"/>
  <c r="B25" i="225"/>
  <c r="C25" i="225"/>
  <c r="D25" i="225"/>
  <c r="E25" i="225"/>
  <c r="F25" i="225"/>
  <c r="G25" i="225"/>
  <c r="H25" i="225"/>
  <c r="J25" i="225"/>
  <c r="L25" i="225"/>
  <c r="M25" i="225"/>
  <c r="N25" i="225"/>
  <c r="B26" i="225"/>
  <c r="C26" i="225"/>
  <c r="D26" i="225"/>
  <c r="E26" i="225"/>
  <c r="F26" i="225"/>
  <c r="G26" i="225"/>
  <c r="H26" i="225"/>
  <c r="J26" i="225"/>
  <c r="L26" i="225"/>
  <c r="M26" i="225"/>
  <c r="N26" i="225"/>
  <c r="B27" i="225"/>
  <c r="C27" i="225"/>
  <c r="D27" i="225"/>
  <c r="E27" i="225"/>
  <c r="F27" i="225"/>
  <c r="G27" i="225"/>
  <c r="H27" i="225"/>
  <c r="J27" i="225"/>
  <c r="L27" i="225"/>
  <c r="M27" i="225"/>
  <c r="N27" i="225"/>
  <c r="B28" i="225"/>
  <c r="C28" i="225"/>
  <c r="D28" i="225"/>
  <c r="E28" i="225"/>
  <c r="F28" i="225"/>
  <c r="G28" i="225"/>
  <c r="H28" i="225"/>
  <c r="J28" i="225"/>
  <c r="L28" i="225"/>
  <c r="M28" i="225"/>
  <c r="N28" i="225"/>
  <c r="B29" i="225"/>
  <c r="C29" i="225"/>
  <c r="D29" i="225"/>
  <c r="E29" i="225"/>
  <c r="F29" i="225"/>
  <c r="G29" i="225"/>
  <c r="H29" i="225"/>
  <c r="J29" i="225"/>
  <c r="L29" i="225"/>
  <c r="M29" i="225"/>
  <c r="N29" i="225"/>
  <c r="B30" i="225"/>
  <c r="C30" i="225"/>
  <c r="D30" i="225"/>
  <c r="E30" i="225"/>
  <c r="F30" i="225"/>
  <c r="G30" i="225"/>
  <c r="H30" i="225"/>
  <c r="J30" i="225"/>
  <c r="L30" i="225"/>
  <c r="M30" i="225"/>
  <c r="N30" i="225"/>
  <c r="B31" i="225"/>
  <c r="C31" i="225"/>
  <c r="D31" i="225"/>
  <c r="E31" i="225"/>
  <c r="F31" i="225"/>
  <c r="G31" i="225"/>
  <c r="H31" i="225"/>
  <c r="J31" i="225"/>
  <c r="L31" i="225"/>
  <c r="M31" i="225"/>
  <c r="N31" i="225"/>
  <c r="B32" i="225"/>
  <c r="C32" i="225"/>
  <c r="D32" i="225"/>
  <c r="E32" i="225"/>
  <c r="F32" i="225"/>
  <c r="G32" i="225"/>
  <c r="H32" i="225"/>
  <c r="J32" i="225"/>
  <c r="L32" i="225"/>
  <c r="M32" i="225"/>
  <c r="N32" i="225"/>
  <c r="B33" i="225"/>
  <c r="C33" i="225"/>
  <c r="D33" i="225"/>
  <c r="E33" i="225"/>
  <c r="F33" i="225"/>
  <c r="G33" i="225"/>
  <c r="H33" i="225"/>
  <c r="J33" i="225"/>
  <c r="L33" i="225"/>
  <c r="M33" i="225"/>
  <c r="N33" i="225"/>
  <c r="B34" i="225"/>
  <c r="C34" i="225"/>
  <c r="D34" i="225"/>
  <c r="E34" i="225"/>
  <c r="F34" i="225"/>
  <c r="G34" i="225"/>
  <c r="H34" i="225"/>
  <c r="J34" i="225"/>
  <c r="L34" i="225"/>
  <c r="M34" i="225"/>
  <c r="N34" i="225"/>
  <c r="B35" i="225"/>
  <c r="C35" i="225"/>
  <c r="D35" i="225"/>
  <c r="E35" i="225"/>
  <c r="F35" i="225"/>
  <c r="G35" i="225"/>
  <c r="H35" i="225"/>
  <c r="J35" i="225"/>
  <c r="L35" i="225"/>
  <c r="M35" i="225"/>
  <c r="N35" i="225"/>
  <c r="B36" i="225"/>
  <c r="C36" i="225"/>
  <c r="D36" i="225"/>
  <c r="E36" i="225"/>
  <c r="F36" i="225"/>
  <c r="G36" i="225"/>
  <c r="H36" i="225"/>
  <c r="J36" i="225"/>
  <c r="L36" i="225"/>
  <c r="M36" i="225"/>
  <c r="N36" i="225"/>
  <c r="B37" i="225"/>
  <c r="C37" i="225"/>
  <c r="D37" i="225"/>
  <c r="E37" i="225"/>
  <c r="F37" i="225"/>
  <c r="G37" i="225"/>
  <c r="H37" i="225"/>
  <c r="J37" i="225"/>
  <c r="L37" i="225"/>
  <c r="M37" i="225"/>
  <c r="N37" i="225"/>
  <c r="B38" i="225"/>
  <c r="C38" i="225"/>
  <c r="D38" i="225"/>
  <c r="E38" i="225"/>
  <c r="F38" i="225"/>
  <c r="G38" i="225"/>
  <c r="H38" i="225"/>
  <c r="J38" i="225"/>
  <c r="L38" i="225"/>
  <c r="M38" i="225"/>
  <c r="N38" i="225"/>
  <c r="B39" i="225"/>
  <c r="C39" i="225"/>
  <c r="D39" i="225"/>
  <c r="E39" i="225"/>
  <c r="F39" i="225"/>
  <c r="G39" i="225"/>
  <c r="H39" i="225"/>
  <c r="J39" i="225"/>
  <c r="L39" i="225"/>
  <c r="M39" i="225"/>
  <c r="N39" i="225"/>
  <c r="B40" i="225"/>
  <c r="C40" i="225"/>
  <c r="D40" i="225"/>
  <c r="E40" i="225"/>
  <c r="F40" i="225"/>
  <c r="G40" i="225"/>
  <c r="H40" i="225"/>
  <c r="J40" i="225"/>
  <c r="L40" i="225"/>
  <c r="M40" i="225"/>
  <c r="N40" i="225"/>
  <c r="B41" i="225"/>
  <c r="C41" i="225"/>
  <c r="D41" i="225"/>
  <c r="E41" i="225"/>
  <c r="F41" i="225"/>
  <c r="G41" i="225"/>
  <c r="H41" i="225"/>
  <c r="J41" i="225"/>
  <c r="L41" i="225"/>
  <c r="M41" i="225"/>
  <c r="N41" i="225"/>
  <c r="Q18" i="3"/>
  <c r="J18" i="3"/>
  <c r="Q19" i="3"/>
  <c r="J19" i="3"/>
  <c r="B42" i="225"/>
  <c r="C42" i="225"/>
  <c r="D42" i="225"/>
  <c r="E42" i="225"/>
  <c r="F42" i="225"/>
  <c r="G42" i="225"/>
  <c r="H42" i="225"/>
  <c r="J42" i="225"/>
  <c r="L42" i="225"/>
  <c r="M42" i="225"/>
  <c r="N42" i="225"/>
  <c r="B43" i="249" l="1"/>
  <c r="C43" i="249"/>
  <c r="D43" i="249"/>
  <c r="E43" i="249"/>
  <c r="F43" i="249"/>
  <c r="G43" i="249"/>
  <c r="H43" i="249"/>
  <c r="J43" i="249"/>
  <c r="L43" i="249"/>
  <c r="M43" i="249"/>
  <c r="N43" i="249"/>
  <c r="B43" i="225"/>
  <c r="C43" i="225"/>
  <c r="D43" i="225"/>
  <c r="E43" i="225"/>
  <c r="F43" i="225"/>
  <c r="G43" i="225"/>
  <c r="H43" i="225"/>
  <c r="J43" i="225"/>
  <c r="L43" i="225"/>
  <c r="M43" i="225"/>
  <c r="N43" i="225"/>
  <c r="J26" i="3"/>
  <c r="Q26" i="3"/>
  <c r="J22" i="3"/>
  <c r="J20" i="3"/>
  <c r="J21" i="3"/>
  <c r="J10" i="3"/>
  <c r="Q10" i="3"/>
  <c r="J12" i="3" l="1"/>
  <c r="S7" i="2" l="1"/>
  <c r="C21" i="245"/>
  <c r="D21" i="245"/>
  <c r="E21" i="245"/>
  <c r="F21" i="245"/>
  <c r="G21" i="245"/>
  <c r="H21" i="245"/>
  <c r="I21" i="245"/>
  <c r="J21" i="245"/>
  <c r="K21" i="245"/>
  <c r="D36" i="228" l="1"/>
  <c r="A5" i="239" l="1"/>
  <c r="B5" i="239"/>
  <c r="C5" i="239"/>
  <c r="D5" i="239"/>
  <c r="E5" i="239"/>
  <c r="F5" i="239"/>
  <c r="G5" i="239"/>
  <c r="B6" i="239"/>
  <c r="C6" i="239"/>
  <c r="D6" i="239"/>
  <c r="E6" i="239"/>
  <c r="F6" i="239"/>
  <c r="G6" i="239"/>
  <c r="Q11" i="3" l="1"/>
  <c r="J18" i="250" l="1"/>
  <c r="Q32" i="3" l="1"/>
  <c r="D14" i="255" l="1"/>
  <c r="E14" i="255"/>
  <c r="F14" i="255"/>
  <c r="G14" i="255"/>
  <c r="H14" i="255"/>
  <c r="J14" i="255"/>
  <c r="L14" i="255"/>
  <c r="C14" i="255"/>
  <c r="B14" i="255"/>
  <c r="B38" i="117" l="1"/>
  <c r="C38" i="117"/>
  <c r="D38" i="117"/>
  <c r="E38" i="117"/>
  <c r="F38" i="117"/>
  <c r="H38" i="117"/>
  <c r="B39" i="117"/>
  <c r="C39" i="117"/>
  <c r="D39" i="117"/>
  <c r="E39" i="117"/>
  <c r="F39" i="117"/>
  <c r="H39" i="117"/>
  <c r="B40" i="117"/>
  <c r="C40" i="117"/>
  <c r="D40" i="117"/>
  <c r="E40" i="117"/>
  <c r="F40" i="117"/>
  <c r="H40" i="117"/>
  <c r="B41" i="117"/>
  <c r="C41" i="117"/>
  <c r="D41" i="117"/>
  <c r="E41" i="117"/>
  <c r="F41" i="117"/>
  <c r="H41" i="117"/>
  <c r="B11" i="117"/>
  <c r="C11" i="117"/>
  <c r="D11" i="117"/>
  <c r="E11" i="117"/>
  <c r="F11" i="117"/>
  <c r="G11" i="117"/>
  <c r="H11" i="117"/>
  <c r="B11" i="250"/>
  <c r="C11" i="250"/>
  <c r="E11" i="250"/>
  <c r="F11" i="250"/>
  <c r="J11" i="250"/>
  <c r="B14" i="257"/>
  <c r="C14" i="257"/>
  <c r="D14" i="257"/>
  <c r="E14" i="257"/>
  <c r="F14" i="257"/>
  <c r="G14" i="257"/>
  <c r="H14" i="257"/>
  <c r="J14" i="257"/>
  <c r="L14" i="257"/>
  <c r="M14" i="257"/>
  <c r="C14" i="228"/>
  <c r="D14" i="228"/>
  <c r="E14" i="228"/>
  <c r="F14" i="228"/>
  <c r="G14" i="228"/>
  <c r="H14" i="228"/>
  <c r="I14" i="228"/>
  <c r="J14" i="228"/>
  <c r="K14" i="228"/>
  <c r="M14" i="228"/>
  <c r="N14" i="228"/>
  <c r="O14" i="228"/>
  <c r="B14" i="256"/>
  <c r="C14" i="256"/>
  <c r="D14" i="256"/>
  <c r="E14" i="256"/>
  <c r="F14" i="256"/>
  <c r="G14" i="256"/>
  <c r="H14" i="256"/>
  <c r="J14" i="256"/>
  <c r="L14" i="256"/>
  <c r="M14" i="256"/>
  <c r="B14" i="249"/>
  <c r="C14" i="249"/>
  <c r="D14" i="249"/>
  <c r="E14" i="249"/>
  <c r="F14" i="249"/>
  <c r="G14" i="249"/>
  <c r="H14" i="249"/>
  <c r="J14" i="249"/>
  <c r="L14" i="249"/>
  <c r="M14" i="249"/>
  <c r="N14" i="249"/>
  <c r="B14" i="225"/>
  <c r="C14" i="225"/>
  <c r="D14" i="225"/>
  <c r="E14" i="225"/>
  <c r="F14" i="225"/>
  <c r="G14" i="225"/>
  <c r="H14" i="225"/>
  <c r="J14" i="225"/>
  <c r="L14" i="225"/>
  <c r="M14" i="225"/>
  <c r="N14" i="225"/>
  <c r="Q8" i="3" l="1"/>
  <c r="J8" i="3"/>
  <c r="Q31" i="3"/>
  <c r="J31" i="3"/>
  <c r="Q30" i="3"/>
  <c r="J30" i="3"/>
  <c r="B42" i="250" l="1"/>
  <c r="B79" i="236" l="1"/>
  <c r="K8" i="236"/>
  <c r="Q28" i="3" l="1"/>
  <c r="B23" i="245" l="1"/>
  <c r="B24" i="245"/>
  <c r="B25" i="245"/>
  <c r="B26" i="245"/>
  <c r="C40" i="228" l="1"/>
  <c r="Q9" i="3" l="1"/>
  <c r="Q12" i="3"/>
  <c r="Q16" i="3"/>
  <c r="G11" i="228" l="1"/>
  <c r="J32" i="3" l="1"/>
  <c r="J28" i="3"/>
  <c r="J16" i="3"/>
  <c r="J9" i="3"/>
  <c r="F12" i="117" l="1"/>
  <c r="G12" i="117"/>
  <c r="H12" i="117"/>
  <c r="F13" i="117"/>
  <c r="G13" i="117"/>
  <c r="H13" i="117"/>
  <c r="F14" i="117"/>
  <c r="G14" i="117"/>
  <c r="H14" i="117"/>
  <c r="F15" i="117"/>
  <c r="G15" i="117"/>
  <c r="H15" i="117"/>
  <c r="F16" i="117"/>
  <c r="G16" i="117"/>
  <c r="H16" i="117"/>
  <c r="F17" i="117"/>
  <c r="G17" i="117"/>
  <c r="H17" i="117"/>
  <c r="F18" i="117"/>
  <c r="G18" i="117"/>
  <c r="H18" i="117"/>
  <c r="F19" i="117"/>
  <c r="G19" i="117"/>
  <c r="H19" i="117"/>
  <c r="F20" i="117"/>
  <c r="G20" i="117"/>
  <c r="H20" i="117"/>
  <c r="F21" i="117"/>
  <c r="G21" i="117"/>
  <c r="H21" i="117"/>
  <c r="F22" i="117"/>
  <c r="G22" i="117"/>
  <c r="H22" i="117"/>
  <c r="F23" i="117"/>
  <c r="G23" i="117"/>
  <c r="H23" i="117"/>
  <c r="F24" i="117"/>
  <c r="G24" i="117"/>
  <c r="H24" i="117"/>
  <c r="F25" i="117"/>
  <c r="G25" i="117"/>
  <c r="H25" i="117"/>
  <c r="F26" i="117"/>
  <c r="G26" i="117"/>
  <c r="H26" i="117"/>
  <c r="F27" i="117"/>
  <c r="G27" i="117"/>
  <c r="H27" i="117"/>
  <c r="F28" i="117"/>
  <c r="G28" i="117"/>
  <c r="H28" i="117"/>
  <c r="F29" i="117"/>
  <c r="G29" i="117"/>
  <c r="H29" i="117"/>
  <c r="F30" i="117"/>
  <c r="G30" i="117"/>
  <c r="H30" i="117"/>
  <c r="F31" i="117"/>
  <c r="G31" i="117"/>
  <c r="H31" i="117"/>
  <c r="F32" i="117"/>
  <c r="G32" i="117"/>
  <c r="H32" i="117"/>
  <c r="F33" i="117"/>
  <c r="G33" i="117"/>
  <c r="H33" i="117"/>
  <c r="F34" i="117"/>
  <c r="G34" i="117"/>
  <c r="H34" i="117"/>
  <c r="F35" i="117"/>
  <c r="G35" i="117"/>
  <c r="H35" i="117"/>
  <c r="F36" i="117"/>
  <c r="G36" i="117"/>
  <c r="H36" i="117"/>
  <c r="F37" i="117"/>
  <c r="G37" i="117"/>
  <c r="H37" i="117"/>
  <c r="Q33" i="3" l="1"/>
  <c r="Q25" i="3"/>
  <c r="Q21" i="3" l="1"/>
  <c r="A6" i="239" l="1"/>
  <c r="A7" i="239"/>
  <c r="B7" i="239"/>
  <c r="C7" i="239"/>
  <c r="D7" i="239"/>
  <c r="E7" i="239"/>
  <c r="F7" i="239"/>
  <c r="G7" i="239"/>
  <c r="A8" i="239"/>
  <c r="B8" i="239"/>
  <c r="C8" i="239"/>
  <c r="D8" i="239"/>
  <c r="E8" i="239"/>
  <c r="F8" i="239"/>
  <c r="G8" i="239"/>
  <c r="A9" i="239"/>
  <c r="B9" i="239"/>
  <c r="C9" i="239"/>
  <c r="D9" i="239"/>
  <c r="E9" i="239"/>
  <c r="F9" i="239"/>
  <c r="G9" i="239"/>
  <c r="A10" i="239"/>
  <c r="B10" i="239"/>
  <c r="C10" i="239"/>
  <c r="D10" i="239"/>
  <c r="E10" i="239"/>
  <c r="F10" i="239"/>
  <c r="G10" i="239"/>
  <c r="A11" i="239"/>
  <c r="B11" i="239"/>
  <c r="C11" i="239"/>
  <c r="D11" i="239"/>
  <c r="E11" i="239"/>
  <c r="F11" i="239"/>
  <c r="G11" i="239"/>
  <c r="A12" i="239"/>
  <c r="B12" i="239"/>
  <c r="C12" i="239"/>
  <c r="D12" i="239"/>
  <c r="E12" i="239"/>
  <c r="F12" i="239"/>
  <c r="G12" i="239"/>
  <c r="A13" i="239"/>
  <c r="B13" i="239"/>
  <c r="C13" i="239"/>
  <c r="D13" i="239"/>
  <c r="E13" i="239"/>
  <c r="F13" i="239"/>
  <c r="G13" i="239"/>
  <c r="A14" i="239"/>
  <c r="B14" i="239"/>
  <c r="C14" i="239"/>
  <c r="D14" i="239"/>
  <c r="E14" i="239"/>
  <c r="F14" i="239"/>
  <c r="G14" i="239"/>
  <c r="A15" i="239"/>
  <c r="B15" i="239"/>
  <c r="C15" i="239"/>
  <c r="D15" i="239"/>
  <c r="E15" i="239"/>
  <c r="F15" i="239"/>
  <c r="G15" i="239"/>
  <c r="A16" i="239"/>
  <c r="B16" i="239"/>
  <c r="C16" i="239"/>
  <c r="D16" i="239"/>
  <c r="E16" i="239"/>
  <c r="F16" i="239"/>
  <c r="G16" i="239"/>
  <c r="A17" i="239"/>
  <c r="B17" i="239"/>
  <c r="C17" i="239"/>
  <c r="D17" i="239"/>
  <c r="E17" i="239"/>
  <c r="F17" i="239"/>
  <c r="G17" i="239"/>
  <c r="A18" i="239"/>
  <c r="B18" i="239"/>
  <c r="C18" i="239"/>
  <c r="D18" i="239"/>
  <c r="E18" i="239"/>
  <c r="F18" i="239"/>
  <c r="G18" i="239"/>
  <c r="A19" i="239"/>
  <c r="B19" i="239"/>
  <c r="C19" i="239"/>
  <c r="D19" i="239"/>
  <c r="E19" i="239"/>
  <c r="F19" i="239"/>
  <c r="G19" i="239"/>
  <c r="A20" i="239"/>
  <c r="B20" i="239"/>
  <c r="C20" i="239"/>
  <c r="D20" i="239"/>
  <c r="E20" i="239"/>
  <c r="F20" i="239"/>
  <c r="G20" i="239"/>
  <c r="A21" i="239"/>
  <c r="B21" i="239"/>
  <c r="C21" i="239"/>
  <c r="D21" i="239"/>
  <c r="E21" i="239"/>
  <c r="F21" i="239"/>
  <c r="G21" i="239"/>
  <c r="A22" i="239"/>
  <c r="B22" i="239"/>
  <c r="C22" i="239"/>
  <c r="D22" i="239"/>
  <c r="E22" i="239"/>
  <c r="F22" i="239"/>
  <c r="G22" i="239"/>
  <c r="A23" i="239"/>
  <c r="B23" i="239"/>
  <c r="C23" i="239"/>
  <c r="D23" i="239"/>
  <c r="E23" i="239"/>
  <c r="F23" i="239"/>
  <c r="G23" i="239"/>
  <c r="A24" i="239"/>
  <c r="B24" i="239"/>
  <c r="C24" i="239"/>
  <c r="D24" i="239"/>
  <c r="E24" i="239"/>
  <c r="F24" i="239"/>
  <c r="G24" i="239"/>
  <c r="A25" i="239"/>
  <c r="B25" i="239"/>
  <c r="C25" i="239"/>
  <c r="D25" i="239"/>
  <c r="E25" i="239"/>
  <c r="F25" i="239"/>
  <c r="G25" i="239"/>
  <c r="A26" i="239"/>
  <c r="B26" i="239"/>
  <c r="C26" i="239"/>
  <c r="D26" i="239"/>
  <c r="E26" i="239"/>
  <c r="F26" i="239"/>
  <c r="G26" i="239"/>
  <c r="A27" i="239"/>
  <c r="B27" i="239"/>
  <c r="C27" i="239"/>
  <c r="D27" i="239"/>
  <c r="E27" i="239"/>
  <c r="F27" i="239"/>
  <c r="G27" i="239"/>
  <c r="A28" i="239"/>
  <c r="B28" i="239"/>
  <c r="C28" i="239"/>
  <c r="D28" i="239"/>
  <c r="E28" i="239"/>
  <c r="F28" i="239"/>
  <c r="G28" i="239"/>
  <c r="A29" i="239"/>
  <c r="B29" i="239"/>
  <c r="C29" i="239"/>
  <c r="D29" i="239"/>
  <c r="E29" i="239"/>
  <c r="F29" i="239"/>
  <c r="G29" i="239"/>
  <c r="A30" i="239"/>
  <c r="B30" i="239"/>
  <c r="C30" i="239"/>
  <c r="D30" i="239"/>
  <c r="E30" i="239"/>
  <c r="F30" i="239"/>
  <c r="G30" i="239"/>
  <c r="A31" i="239"/>
  <c r="B31" i="239"/>
  <c r="C31" i="239"/>
  <c r="D31" i="239"/>
  <c r="E31" i="239"/>
  <c r="F31" i="239"/>
  <c r="G31" i="239"/>
  <c r="A32" i="239"/>
  <c r="B32" i="239"/>
  <c r="C32" i="239"/>
  <c r="D32" i="239"/>
  <c r="E32" i="239"/>
  <c r="F32" i="239"/>
  <c r="G32" i="239"/>
  <c r="A33" i="239"/>
  <c r="B33" i="239"/>
  <c r="C33" i="239"/>
  <c r="D33" i="239"/>
  <c r="E33" i="239"/>
  <c r="F33" i="239"/>
  <c r="G33" i="239"/>
  <c r="A34" i="239"/>
  <c r="B34" i="239"/>
  <c r="C34" i="239"/>
  <c r="D34" i="239"/>
  <c r="E34" i="239"/>
  <c r="F34" i="239"/>
  <c r="G34" i="239"/>
  <c r="A35" i="239"/>
  <c r="B35" i="239"/>
  <c r="C35" i="239"/>
  <c r="D35" i="239"/>
  <c r="E35" i="239"/>
  <c r="F35" i="239"/>
  <c r="G35" i="239"/>
  <c r="A36" i="239"/>
  <c r="B36" i="239"/>
  <c r="C36" i="239"/>
  <c r="D36" i="239"/>
  <c r="E36" i="239"/>
  <c r="F36" i="239"/>
  <c r="G36" i="239"/>
  <c r="A37" i="239"/>
  <c r="B37" i="239"/>
  <c r="C37" i="239"/>
  <c r="D37" i="239"/>
  <c r="E37" i="239"/>
  <c r="F37" i="239"/>
  <c r="G37" i="239"/>
  <c r="A38" i="239"/>
  <c r="B38" i="239"/>
  <c r="C38" i="239"/>
  <c r="D38" i="239"/>
  <c r="E38" i="239"/>
  <c r="F38" i="239"/>
  <c r="G38" i="239"/>
  <c r="J11" i="3"/>
  <c r="E13" i="233" l="1"/>
  <c r="M15" i="257" l="1"/>
  <c r="M16" i="257"/>
  <c r="M17" i="257"/>
  <c r="M18" i="257"/>
  <c r="M19" i="257"/>
  <c r="M20" i="257"/>
  <c r="M21" i="257"/>
  <c r="M22" i="257"/>
  <c r="M23" i="257"/>
  <c r="M24" i="257"/>
  <c r="M25" i="257"/>
  <c r="M26" i="257"/>
  <c r="M27" i="257"/>
  <c r="M28" i="257"/>
  <c r="M29" i="257"/>
  <c r="M30" i="257"/>
  <c r="M31" i="257"/>
  <c r="M32" i="257"/>
  <c r="M33" i="257"/>
  <c r="M34" i="257"/>
  <c r="M35" i="257"/>
  <c r="M36" i="257"/>
  <c r="M37" i="257"/>
  <c r="M38" i="257"/>
  <c r="M39" i="257"/>
  <c r="M40" i="257"/>
  <c r="M41" i="257"/>
  <c r="M42" i="257"/>
  <c r="L16" i="257"/>
  <c r="L17" i="257"/>
  <c r="L18" i="257"/>
  <c r="L19" i="257"/>
  <c r="L20" i="257"/>
  <c r="L21" i="257"/>
  <c r="L22" i="257"/>
  <c r="L23" i="257"/>
  <c r="L24" i="257"/>
  <c r="L25" i="257"/>
  <c r="L26" i="257"/>
  <c r="L27" i="257"/>
  <c r="L28" i="257"/>
  <c r="L29" i="257"/>
  <c r="L30" i="257"/>
  <c r="L31" i="257"/>
  <c r="L32" i="257"/>
  <c r="L33" i="257"/>
  <c r="L34" i="257"/>
  <c r="L35" i="257"/>
  <c r="L36" i="257"/>
  <c r="L37" i="257"/>
  <c r="L38" i="257"/>
  <c r="L39" i="257"/>
  <c r="L40" i="257"/>
  <c r="L41" i="257"/>
  <c r="L42" i="257"/>
  <c r="L15" i="257"/>
  <c r="G46" i="257"/>
  <c r="J42" i="257"/>
  <c r="H42" i="257"/>
  <c r="G42" i="257"/>
  <c r="F42" i="257"/>
  <c r="E42" i="257"/>
  <c r="D42" i="257"/>
  <c r="C42" i="257"/>
  <c r="B42" i="257"/>
  <c r="J41" i="257"/>
  <c r="H41" i="257"/>
  <c r="G41" i="257"/>
  <c r="F41" i="257"/>
  <c r="E41" i="257"/>
  <c r="D41" i="257"/>
  <c r="C41" i="257"/>
  <c r="B41" i="257"/>
  <c r="J40" i="257"/>
  <c r="H40" i="257"/>
  <c r="G40" i="257"/>
  <c r="F40" i="257"/>
  <c r="E40" i="257"/>
  <c r="D40" i="257"/>
  <c r="C40" i="257"/>
  <c r="B40" i="257"/>
  <c r="J39" i="257"/>
  <c r="H39" i="257"/>
  <c r="G39" i="257"/>
  <c r="F39" i="257"/>
  <c r="E39" i="257"/>
  <c r="D39" i="257"/>
  <c r="C39" i="257"/>
  <c r="B39" i="257"/>
  <c r="J38" i="257"/>
  <c r="H38" i="257"/>
  <c r="G38" i="257"/>
  <c r="F38" i="257"/>
  <c r="E38" i="257"/>
  <c r="D38" i="257"/>
  <c r="C38" i="257"/>
  <c r="B38" i="257"/>
  <c r="J37" i="257"/>
  <c r="H37" i="257"/>
  <c r="G37" i="257"/>
  <c r="F37" i="257"/>
  <c r="E37" i="257"/>
  <c r="D37" i="257"/>
  <c r="C37" i="257"/>
  <c r="B37" i="257"/>
  <c r="J36" i="257"/>
  <c r="H36" i="257"/>
  <c r="G36" i="257"/>
  <c r="F36" i="257"/>
  <c r="E36" i="257"/>
  <c r="D36" i="257"/>
  <c r="C36" i="257"/>
  <c r="B36" i="257"/>
  <c r="J35" i="257"/>
  <c r="H35" i="257"/>
  <c r="F35" i="257"/>
  <c r="E35" i="257"/>
  <c r="D35" i="257"/>
  <c r="C35" i="257"/>
  <c r="B35" i="257"/>
  <c r="J34" i="257"/>
  <c r="H34" i="257"/>
  <c r="G34" i="257"/>
  <c r="F34" i="257"/>
  <c r="E34" i="257"/>
  <c r="D34" i="257"/>
  <c r="C34" i="257"/>
  <c r="B34" i="257"/>
  <c r="J33" i="257"/>
  <c r="H33" i="257"/>
  <c r="G33" i="257"/>
  <c r="F33" i="257"/>
  <c r="E33" i="257"/>
  <c r="D33" i="257"/>
  <c r="C33" i="257"/>
  <c r="B33" i="257"/>
  <c r="J32" i="257"/>
  <c r="H32" i="257"/>
  <c r="G32" i="257"/>
  <c r="F32" i="257"/>
  <c r="E32" i="257"/>
  <c r="D32" i="257"/>
  <c r="C32" i="257"/>
  <c r="B32" i="257"/>
  <c r="J31" i="257"/>
  <c r="H31" i="257"/>
  <c r="G31" i="257"/>
  <c r="F31" i="257"/>
  <c r="E31" i="257"/>
  <c r="D31" i="257"/>
  <c r="C31" i="257"/>
  <c r="B31" i="257"/>
  <c r="J30" i="257"/>
  <c r="H30" i="257"/>
  <c r="G30" i="257"/>
  <c r="F30" i="257"/>
  <c r="E30" i="257"/>
  <c r="D30" i="257"/>
  <c r="C30" i="257"/>
  <c r="B30" i="257"/>
  <c r="J29" i="257"/>
  <c r="H29" i="257"/>
  <c r="G29" i="257"/>
  <c r="F29" i="257"/>
  <c r="E29" i="257"/>
  <c r="D29" i="257"/>
  <c r="C29" i="257"/>
  <c r="B29" i="257"/>
  <c r="J28" i="257"/>
  <c r="H28" i="257"/>
  <c r="G28" i="257"/>
  <c r="F28" i="257"/>
  <c r="E28" i="257"/>
  <c r="D28" i="257"/>
  <c r="C28" i="257"/>
  <c r="B28" i="257"/>
  <c r="J27" i="257"/>
  <c r="H27" i="257"/>
  <c r="G27" i="257"/>
  <c r="F27" i="257"/>
  <c r="E27" i="257"/>
  <c r="D27" i="257"/>
  <c r="C27" i="257"/>
  <c r="B27" i="257"/>
  <c r="J26" i="257"/>
  <c r="H26" i="257"/>
  <c r="G26" i="257"/>
  <c r="F26" i="257"/>
  <c r="E26" i="257"/>
  <c r="D26" i="257"/>
  <c r="C26" i="257"/>
  <c r="B26" i="257"/>
  <c r="J25" i="257"/>
  <c r="H25" i="257"/>
  <c r="G25" i="257"/>
  <c r="F25" i="257"/>
  <c r="E25" i="257"/>
  <c r="D25" i="257"/>
  <c r="C25" i="257"/>
  <c r="B25" i="257"/>
  <c r="J24" i="257"/>
  <c r="H24" i="257"/>
  <c r="G24" i="257"/>
  <c r="F24" i="257"/>
  <c r="E24" i="257"/>
  <c r="D24" i="257"/>
  <c r="C24" i="257"/>
  <c r="B24" i="257"/>
  <c r="J23" i="257"/>
  <c r="H23" i="257"/>
  <c r="G23" i="257"/>
  <c r="F23" i="257"/>
  <c r="E23" i="257"/>
  <c r="D23" i="257"/>
  <c r="C23" i="257"/>
  <c r="B23" i="257"/>
  <c r="J22" i="257"/>
  <c r="H22" i="257"/>
  <c r="G22" i="257"/>
  <c r="F22" i="257"/>
  <c r="E22" i="257"/>
  <c r="D22" i="257"/>
  <c r="C22" i="257"/>
  <c r="B22" i="257"/>
  <c r="J21" i="257"/>
  <c r="H21" i="257"/>
  <c r="G21" i="257"/>
  <c r="F21" i="257"/>
  <c r="E21" i="257"/>
  <c r="D21" i="257"/>
  <c r="C21" i="257"/>
  <c r="B21" i="257"/>
  <c r="J20" i="257"/>
  <c r="H20" i="257"/>
  <c r="G20" i="257"/>
  <c r="F20" i="257"/>
  <c r="E20" i="257"/>
  <c r="D20" i="257"/>
  <c r="C20" i="257"/>
  <c r="B20" i="257"/>
  <c r="J19" i="257"/>
  <c r="H19" i="257"/>
  <c r="G19" i="257"/>
  <c r="F19" i="257"/>
  <c r="E19" i="257"/>
  <c r="D19" i="257"/>
  <c r="C19" i="257"/>
  <c r="B19" i="257"/>
  <c r="J18" i="257"/>
  <c r="H18" i="257"/>
  <c r="G18" i="257"/>
  <c r="F18" i="257"/>
  <c r="E18" i="257"/>
  <c r="D18" i="257"/>
  <c r="C18" i="257"/>
  <c r="B18" i="257"/>
  <c r="J17" i="257"/>
  <c r="H17" i="257"/>
  <c r="G17" i="257"/>
  <c r="F17" i="257"/>
  <c r="E17" i="257"/>
  <c r="D17" i="257"/>
  <c r="C17" i="257"/>
  <c r="B17" i="257"/>
  <c r="J16" i="257"/>
  <c r="H16" i="257"/>
  <c r="G16" i="257"/>
  <c r="F16" i="257"/>
  <c r="E16" i="257"/>
  <c r="D16" i="257"/>
  <c r="C16" i="257"/>
  <c r="B16" i="257"/>
  <c r="J15" i="257"/>
  <c r="H15" i="257"/>
  <c r="G15" i="257"/>
  <c r="F15" i="257"/>
  <c r="E15" i="257"/>
  <c r="D15" i="257"/>
  <c r="C15" i="257"/>
  <c r="B15" i="257"/>
  <c r="F11" i="257"/>
  <c r="B11" i="257"/>
  <c r="D9" i="257"/>
  <c r="F8" i="257"/>
  <c r="D8" i="257"/>
  <c r="I7" i="257"/>
  <c r="C45" i="257" s="1"/>
  <c r="F7" i="257"/>
  <c r="D6" i="257"/>
  <c r="G46" i="256"/>
  <c r="F11" i="256"/>
  <c r="B11" i="256"/>
  <c r="D9" i="256"/>
  <c r="F8" i="256"/>
  <c r="D8" i="256"/>
  <c r="I7" i="256"/>
  <c r="C45" i="256" s="1"/>
  <c r="F7" i="256"/>
  <c r="D6" i="256"/>
  <c r="B12" i="117" l="1"/>
  <c r="C12" i="117"/>
  <c r="D12" i="117"/>
  <c r="E12" i="117"/>
  <c r="B13" i="117"/>
  <c r="C13" i="117"/>
  <c r="D13" i="117"/>
  <c r="E13" i="117"/>
  <c r="B14" i="117"/>
  <c r="C14" i="117"/>
  <c r="D14" i="117"/>
  <c r="E14" i="117"/>
  <c r="B15" i="117"/>
  <c r="C15" i="117"/>
  <c r="D15" i="117"/>
  <c r="E15" i="117"/>
  <c r="B16" i="117"/>
  <c r="C16" i="117"/>
  <c r="D16" i="117"/>
  <c r="E16" i="117"/>
  <c r="B17" i="117"/>
  <c r="C17" i="117"/>
  <c r="D17" i="117"/>
  <c r="E17" i="117"/>
  <c r="B18" i="117"/>
  <c r="C18" i="117"/>
  <c r="D18" i="117"/>
  <c r="E18" i="117"/>
  <c r="B19" i="117"/>
  <c r="C19" i="117"/>
  <c r="D19" i="117"/>
  <c r="E19" i="117"/>
  <c r="B20" i="117"/>
  <c r="C20" i="117"/>
  <c r="D20" i="117"/>
  <c r="E20" i="117"/>
  <c r="B21" i="117"/>
  <c r="C21" i="117"/>
  <c r="D21" i="117"/>
  <c r="E21" i="117"/>
  <c r="B22" i="117"/>
  <c r="C22" i="117"/>
  <c r="D22" i="117"/>
  <c r="E22" i="117"/>
  <c r="B23" i="117"/>
  <c r="C23" i="117"/>
  <c r="D23" i="117"/>
  <c r="E23" i="117"/>
  <c r="B24" i="117"/>
  <c r="C24" i="117"/>
  <c r="D24" i="117"/>
  <c r="E24" i="117"/>
  <c r="B25" i="117"/>
  <c r="C25" i="117"/>
  <c r="D25" i="117"/>
  <c r="E25" i="117"/>
  <c r="B26" i="117"/>
  <c r="C26" i="117"/>
  <c r="D26" i="117"/>
  <c r="E26" i="117"/>
  <c r="B27" i="117"/>
  <c r="C27" i="117"/>
  <c r="D27" i="117"/>
  <c r="E27" i="117"/>
  <c r="B28" i="117"/>
  <c r="C28" i="117"/>
  <c r="D28" i="117"/>
  <c r="E28" i="117"/>
  <c r="B29" i="117"/>
  <c r="C29" i="117"/>
  <c r="D29" i="117"/>
  <c r="E29" i="117"/>
  <c r="B30" i="117"/>
  <c r="C30" i="117"/>
  <c r="D30" i="117"/>
  <c r="E30" i="117"/>
  <c r="B31" i="117"/>
  <c r="C31" i="117"/>
  <c r="D31" i="117"/>
  <c r="E31" i="117"/>
  <c r="B32" i="117"/>
  <c r="C32" i="117"/>
  <c r="D32" i="117"/>
  <c r="E32" i="117"/>
  <c r="B33" i="117"/>
  <c r="C33" i="117"/>
  <c r="D33" i="117"/>
  <c r="E33" i="117"/>
  <c r="B34" i="117"/>
  <c r="C34" i="117"/>
  <c r="D34" i="117"/>
  <c r="E34" i="117"/>
  <c r="B35" i="117"/>
  <c r="C35" i="117"/>
  <c r="D35" i="117"/>
  <c r="E35" i="117"/>
  <c r="B36" i="117"/>
  <c r="C36" i="117"/>
  <c r="D36" i="117"/>
  <c r="E36" i="117"/>
  <c r="B37" i="117"/>
  <c r="C37" i="117"/>
  <c r="D37" i="117"/>
  <c r="E37" i="117"/>
  <c r="J14" i="250"/>
  <c r="J15" i="250"/>
  <c r="J17" i="250"/>
  <c r="J19" i="250"/>
  <c r="J20" i="250"/>
  <c r="J21" i="250"/>
  <c r="J23" i="250"/>
  <c r="J24" i="250"/>
  <c r="J28" i="250"/>
  <c r="J30" i="250"/>
  <c r="J31" i="250"/>
  <c r="J32" i="250"/>
  <c r="J33" i="250"/>
  <c r="J34" i="250"/>
  <c r="J35" i="250"/>
  <c r="J36" i="250"/>
  <c r="J38" i="250"/>
  <c r="C15" i="228" l="1"/>
  <c r="D15" i="228"/>
  <c r="E15" i="228"/>
  <c r="F15" i="228"/>
  <c r="G15" i="228"/>
  <c r="H15" i="228"/>
  <c r="I15" i="228"/>
  <c r="J15" i="228"/>
  <c r="K15" i="228"/>
  <c r="M15" i="228"/>
  <c r="N15" i="228"/>
  <c r="O15" i="228"/>
  <c r="C16" i="228"/>
  <c r="D16" i="228"/>
  <c r="E16" i="228"/>
  <c r="F16" i="228"/>
  <c r="G16" i="228"/>
  <c r="H16" i="228"/>
  <c r="I16" i="228"/>
  <c r="J16" i="228"/>
  <c r="K16" i="228"/>
  <c r="M16" i="228"/>
  <c r="N16" i="228"/>
  <c r="O16" i="228"/>
  <c r="C17" i="228"/>
  <c r="D17" i="228"/>
  <c r="E17" i="228"/>
  <c r="F17" i="228"/>
  <c r="G17" i="228"/>
  <c r="H17" i="228"/>
  <c r="I17" i="228"/>
  <c r="J17" i="228"/>
  <c r="K17" i="228"/>
  <c r="M17" i="228"/>
  <c r="N17" i="228"/>
  <c r="O17" i="228"/>
  <c r="C18" i="228"/>
  <c r="D18" i="228"/>
  <c r="E18" i="228"/>
  <c r="F18" i="228"/>
  <c r="G18" i="228"/>
  <c r="H18" i="228"/>
  <c r="I18" i="228"/>
  <c r="J18" i="228"/>
  <c r="K18" i="228"/>
  <c r="M18" i="228"/>
  <c r="N18" i="228"/>
  <c r="O18" i="228"/>
  <c r="C19" i="228"/>
  <c r="D19" i="228"/>
  <c r="E19" i="228"/>
  <c r="F19" i="228"/>
  <c r="G19" i="228"/>
  <c r="H19" i="228"/>
  <c r="I19" i="228"/>
  <c r="J19" i="228"/>
  <c r="K19" i="228"/>
  <c r="M19" i="228"/>
  <c r="N19" i="228"/>
  <c r="O19" i="228"/>
  <c r="C20" i="228"/>
  <c r="D20" i="228"/>
  <c r="E20" i="228"/>
  <c r="F20" i="228"/>
  <c r="G20" i="228"/>
  <c r="H20" i="228"/>
  <c r="I20" i="228"/>
  <c r="J20" i="228"/>
  <c r="K20" i="228"/>
  <c r="M20" i="228"/>
  <c r="N20" i="228"/>
  <c r="O20" i="228"/>
  <c r="C21" i="228"/>
  <c r="D21" i="228"/>
  <c r="E21" i="228"/>
  <c r="F21" i="228"/>
  <c r="G21" i="228"/>
  <c r="H21" i="228"/>
  <c r="I21" i="228"/>
  <c r="J21" i="228"/>
  <c r="K21" i="228"/>
  <c r="M21" i="228"/>
  <c r="N21" i="228"/>
  <c r="O21" i="228"/>
  <c r="C22" i="228"/>
  <c r="D22" i="228"/>
  <c r="E22" i="228"/>
  <c r="F22" i="228"/>
  <c r="G22" i="228"/>
  <c r="H22" i="228"/>
  <c r="I22" i="228"/>
  <c r="J22" i="228"/>
  <c r="K22" i="228"/>
  <c r="M22" i="228"/>
  <c r="N22" i="228"/>
  <c r="O22" i="228"/>
  <c r="C23" i="228"/>
  <c r="D23" i="228"/>
  <c r="E23" i="228"/>
  <c r="F23" i="228"/>
  <c r="G23" i="228"/>
  <c r="H23" i="228"/>
  <c r="I23" i="228"/>
  <c r="J23" i="228"/>
  <c r="K23" i="228"/>
  <c r="M23" i="228"/>
  <c r="N23" i="228"/>
  <c r="O23" i="228"/>
  <c r="C24" i="228"/>
  <c r="D24" i="228"/>
  <c r="E24" i="228"/>
  <c r="F24" i="228"/>
  <c r="G24" i="228"/>
  <c r="H24" i="228"/>
  <c r="I24" i="228"/>
  <c r="J24" i="228"/>
  <c r="K24" i="228"/>
  <c r="M24" i="228"/>
  <c r="N24" i="228"/>
  <c r="O24" i="228"/>
  <c r="C25" i="228"/>
  <c r="D25" i="228"/>
  <c r="E25" i="228"/>
  <c r="F25" i="228"/>
  <c r="G25" i="228"/>
  <c r="H25" i="228"/>
  <c r="I25" i="228"/>
  <c r="J25" i="228"/>
  <c r="K25" i="228"/>
  <c r="M25" i="228"/>
  <c r="N25" i="228"/>
  <c r="O25" i="228"/>
  <c r="C26" i="228"/>
  <c r="D26" i="228"/>
  <c r="E26" i="228"/>
  <c r="F26" i="228"/>
  <c r="G26" i="228"/>
  <c r="H26" i="228"/>
  <c r="I26" i="228"/>
  <c r="J26" i="228"/>
  <c r="K26" i="228"/>
  <c r="M26" i="228"/>
  <c r="N26" i="228"/>
  <c r="O26" i="228"/>
  <c r="C27" i="228"/>
  <c r="D27" i="228"/>
  <c r="E27" i="228"/>
  <c r="F27" i="228"/>
  <c r="G27" i="228"/>
  <c r="H27" i="228"/>
  <c r="I27" i="228"/>
  <c r="J27" i="228"/>
  <c r="K27" i="228"/>
  <c r="M27" i="228"/>
  <c r="N27" i="228"/>
  <c r="O27" i="228"/>
  <c r="C28" i="228"/>
  <c r="D28" i="228"/>
  <c r="E28" i="228"/>
  <c r="F28" i="228"/>
  <c r="G28" i="228"/>
  <c r="H28" i="228"/>
  <c r="I28" i="228"/>
  <c r="J28" i="228"/>
  <c r="K28" i="228"/>
  <c r="M28" i="228"/>
  <c r="N28" i="228"/>
  <c r="O28" i="228"/>
  <c r="C29" i="228"/>
  <c r="D29" i="228"/>
  <c r="E29" i="228"/>
  <c r="F29" i="228"/>
  <c r="G29" i="228"/>
  <c r="H29" i="228"/>
  <c r="I29" i="228"/>
  <c r="J29" i="228"/>
  <c r="K29" i="228"/>
  <c r="M29" i="228"/>
  <c r="N29" i="228"/>
  <c r="O29" i="228"/>
  <c r="C30" i="228"/>
  <c r="D30" i="228"/>
  <c r="E30" i="228"/>
  <c r="F30" i="228"/>
  <c r="G30" i="228"/>
  <c r="H30" i="228"/>
  <c r="I30" i="228"/>
  <c r="J30" i="228"/>
  <c r="K30" i="228"/>
  <c r="M30" i="228"/>
  <c r="N30" i="228"/>
  <c r="O30" i="228"/>
  <c r="C31" i="228"/>
  <c r="D31" i="228"/>
  <c r="E31" i="228"/>
  <c r="F31" i="228"/>
  <c r="G31" i="228"/>
  <c r="H31" i="228"/>
  <c r="I31" i="228"/>
  <c r="J31" i="228"/>
  <c r="K31" i="228"/>
  <c r="M31" i="228"/>
  <c r="N31" i="228"/>
  <c r="O31" i="228"/>
  <c r="C32" i="228"/>
  <c r="D32" i="228"/>
  <c r="E32" i="228"/>
  <c r="F32" i="228"/>
  <c r="G32" i="228"/>
  <c r="H32" i="228"/>
  <c r="I32" i="228"/>
  <c r="J32" i="228"/>
  <c r="K32" i="228"/>
  <c r="M32" i="228"/>
  <c r="N32" i="228"/>
  <c r="O32" i="228"/>
  <c r="C33" i="228"/>
  <c r="D33" i="228"/>
  <c r="E33" i="228"/>
  <c r="F33" i="228"/>
  <c r="G33" i="228"/>
  <c r="H33" i="228"/>
  <c r="I33" i="228"/>
  <c r="J33" i="228"/>
  <c r="K33" i="228"/>
  <c r="M33" i="228"/>
  <c r="N33" i="228"/>
  <c r="O33" i="228"/>
  <c r="C34" i="228"/>
  <c r="D34" i="228"/>
  <c r="E34" i="228"/>
  <c r="F34" i="228"/>
  <c r="G34" i="228"/>
  <c r="H34" i="228"/>
  <c r="I34" i="228"/>
  <c r="J34" i="228"/>
  <c r="K34" i="228"/>
  <c r="M34" i="228"/>
  <c r="N34" i="228"/>
  <c r="O34" i="228"/>
  <c r="C35" i="228"/>
  <c r="D35" i="228"/>
  <c r="E35" i="228"/>
  <c r="F35" i="228"/>
  <c r="G35" i="228"/>
  <c r="H35" i="228"/>
  <c r="I35" i="228"/>
  <c r="J35" i="228"/>
  <c r="K35" i="228"/>
  <c r="M35" i="228"/>
  <c r="N35" i="228"/>
  <c r="O35" i="228"/>
  <c r="C36" i="228"/>
  <c r="E36" i="228"/>
  <c r="F36" i="228"/>
  <c r="G36" i="228"/>
  <c r="H36" i="228"/>
  <c r="I36" i="228"/>
  <c r="J36" i="228"/>
  <c r="K36" i="228"/>
  <c r="M36" i="228"/>
  <c r="N36" i="228"/>
  <c r="O36" i="228"/>
  <c r="C37" i="228"/>
  <c r="D37" i="228"/>
  <c r="E37" i="228"/>
  <c r="F37" i="228"/>
  <c r="G37" i="228"/>
  <c r="H37" i="228"/>
  <c r="I37" i="228"/>
  <c r="J37" i="228"/>
  <c r="K37" i="228"/>
  <c r="M37" i="228"/>
  <c r="N37" i="228"/>
  <c r="O37" i="228"/>
  <c r="C38" i="228"/>
  <c r="D38" i="228"/>
  <c r="E38" i="228"/>
  <c r="F38" i="228"/>
  <c r="G38" i="228"/>
  <c r="H38" i="228"/>
  <c r="I38" i="228"/>
  <c r="J38" i="228"/>
  <c r="K38" i="228"/>
  <c r="M38" i="228"/>
  <c r="N38" i="228"/>
  <c r="O38" i="228"/>
  <c r="C39" i="228"/>
  <c r="D39" i="228"/>
  <c r="E39" i="228"/>
  <c r="F39" i="228"/>
  <c r="G39" i="228"/>
  <c r="H39" i="228"/>
  <c r="I39" i="228"/>
  <c r="J39" i="228"/>
  <c r="K39" i="228"/>
  <c r="M39" i="228"/>
  <c r="N39" i="228"/>
  <c r="O39" i="228"/>
  <c r="D40" i="228"/>
  <c r="E40" i="228"/>
  <c r="F40" i="228"/>
  <c r="G40" i="228"/>
  <c r="H40" i="228"/>
  <c r="I40" i="228"/>
  <c r="J40" i="228"/>
  <c r="K40" i="228"/>
  <c r="M40" i="228"/>
  <c r="N40" i="228"/>
  <c r="O40" i="228"/>
  <c r="G46" i="255" l="1"/>
  <c r="F11" i="255"/>
  <c r="B11" i="255"/>
  <c r="D9" i="255"/>
  <c r="F8" i="255"/>
  <c r="D8" i="255"/>
  <c r="I7" i="255"/>
  <c r="C45" i="255" s="1"/>
  <c r="F7" i="255"/>
  <c r="D6" i="255"/>
  <c r="H9" i="178" l="1"/>
  <c r="H11" i="178"/>
  <c r="C11" i="178"/>
  <c r="E9" i="178"/>
  <c r="E6" i="178"/>
  <c r="J9" i="245" l="1"/>
  <c r="K9" i="245"/>
  <c r="C9" i="245"/>
  <c r="D9" i="245"/>
  <c r="E9" i="245"/>
  <c r="F9" i="245"/>
  <c r="G9" i="245"/>
  <c r="H9" i="245"/>
  <c r="I9" i="245"/>
  <c r="B9" i="245"/>
  <c r="J7" i="243"/>
  <c r="J7" i="245" s="1"/>
  <c r="Q27" i="3" l="1"/>
  <c r="Q29" i="3"/>
  <c r="Q34" i="3"/>
  <c r="Q35" i="3"/>
  <c r="J13" i="3"/>
  <c r="J14" i="3"/>
  <c r="J15" i="3"/>
  <c r="J17" i="3"/>
  <c r="J23" i="3"/>
  <c r="J24" i="3"/>
  <c r="J25" i="3"/>
  <c r="J27" i="3"/>
  <c r="J29" i="3"/>
  <c r="J33" i="3"/>
  <c r="J34" i="3"/>
  <c r="J35" i="3"/>
  <c r="Q24" i="3" l="1"/>
  <c r="Q23" i="3"/>
  <c r="Q22" i="3"/>
  <c r="Q20" i="3"/>
  <c r="Q17" i="3"/>
  <c r="Q15" i="3"/>
  <c r="B5" i="125" l="1"/>
  <c r="B7" i="125"/>
  <c r="E6" i="233"/>
  <c r="E7" i="233"/>
  <c r="C11" i="233"/>
  <c r="B5" i="245"/>
  <c r="B7" i="245"/>
  <c r="Q14" i="3" l="1"/>
  <c r="D5" i="125" l="1"/>
  <c r="D5" i="131"/>
  <c r="I7" i="178"/>
  <c r="I7" i="233" l="1"/>
  <c r="D8" i="118"/>
  <c r="H8" i="117"/>
  <c r="D5" i="182"/>
  <c r="E7" i="253"/>
  <c r="C46" i="225"/>
  <c r="I7" i="249"/>
  <c r="C46" i="249" s="1"/>
  <c r="S6" i="252"/>
  <c r="A24" i="252" s="1"/>
  <c r="E7" i="206"/>
  <c r="K6" i="236"/>
  <c r="E8" i="233" l="1"/>
  <c r="Q13" i="3" l="1"/>
  <c r="B6" i="118" l="1"/>
  <c r="C6" i="118"/>
  <c r="D6" i="118"/>
  <c r="B8" i="118"/>
  <c r="C8" i="118"/>
  <c r="D31" i="118"/>
  <c r="H6" i="117"/>
  <c r="E8" i="117"/>
  <c r="E6" i="117"/>
  <c r="B8" i="117"/>
  <c r="B6" i="117"/>
  <c r="E26" i="253"/>
  <c r="D7" i="253"/>
  <c r="B7" i="253"/>
  <c r="E5" i="253"/>
  <c r="D5" i="253"/>
  <c r="B5" i="253"/>
  <c r="T32" i="252"/>
  <c r="X6" i="252"/>
  <c r="X4" i="252"/>
  <c r="H6" i="252"/>
  <c r="L4" i="252"/>
  <c r="C6" i="252"/>
  <c r="C4" i="252"/>
  <c r="B5" i="206"/>
  <c r="D7" i="206"/>
  <c r="B7" i="243"/>
  <c r="B5" i="243"/>
  <c r="E5" i="206"/>
  <c r="D38" i="236"/>
  <c r="K7" i="236"/>
  <c r="E9" i="236"/>
  <c r="E7" i="236"/>
  <c r="E6" i="236"/>
  <c r="E9" i="228"/>
  <c r="L46" i="250"/>
  <c r="D8" i="250"/>
  <c r="L6" i="250"/>
  <c r="L4" i="250"/>
  <c r="D6" i="250"/>
  <c r="D4" i="250"/>
  <c r="J64" i="243"/>
  <c r="H28" i="245"/>
  <c r="F7" i="245"/>
  <c r="F5" i="245"/>
  <c r="F5" i="243"/>
  <c r="F7" i="243"/>
  <c r="D5" i="206"/>
  <c r="E23" i="245"/>
  <c r="F23" i="245"/>
  <c r="E24" i="245"/>
  <c r="F24" i="245"/>
  <c r="E25" i="245"/>
  <c r="F25" i="245"/>
  <c r="E26" i="245"/>
  <c r="F26" i="245"/>
  <c r="F19" i="233"/>
  <c r="J7" i="228"/>
  <c r="D42" i="228" s="1"/>
  <c r="G7" i="228"/>
  <c r="C24" i="245"/>
  <c r="D24" i="245"/>
  <c r="G24" i="245"/>
  <c r="H24" i="245"/>
  <c r="I24" i="245"/>
  <c r="C25" i="245"/>
  <c r="D25" i="245"/>
  <c r="G25" i="245"/>
  <c r="H25" i="245"/>
  <c r="I25" i="245"/>
  <c r="C26" i="245"/>
  <c r="D26" i="245"/>
  <c r="G26" i="245"/>
  <c r="H26" i="245"/>
  <c r="I26" i="245"/>
  <c r="D13" i="233"/>
  <c r="G47" i="249"/>
  <c r="F11" i="249"/>
  <c r="B11" i="249"/>
  <c r="D9" i="249"/>
  <c r="F8" i="249"/>
  <c r="D8" i="249"/>
  <c r="F7" i="249"/>
  <c r="D6" i="249"/>
  <c r="H43" i="117"/>
  <c r="E5" i="125"/>
  <c r="J5" i="125" s="1"/>
  <c r="B315" i="245"/>
  <c r="B316" i="245" s="1"/>
  <c r="B317" i="245" s="1"/>
  <c r="B318" i="245" s="1"/>
  <c r="B319" i="245" s="1"/>
  <c r="K9" i="236"/>
  <c r="O6" i="137"/>
  <c r="J7" i="137"/>
  <c r="J6" i="137"/>
  <c r="F7" i="137"/>
  <c r="F6" i="137"/>
  <c r="E5" i="131"/>
  <c r="G40" i="239"/>
  <c r="H75" i="236"/>
  <c r="H41" i="233"/>
  <c r="E9" i="233"/>
  <c r="H11" i="233"/>
  <c r="H8" i="233"/>
  <c r="J5" i="243"/>
  <c r="J5" i="245" s="1"/>
  <c r="E8" i="236"/>
  <c r="D9" i="225"/>
  <c r="F7" i="225"/>
  <c r="F11" i="225"/>
  <c r="B351" i="243"/>
  <c r="B352" i="243" s="1"/>
  <c r="B353" i="243" s="1"/>
  <c r="B354" i="243" s="1"/>
  <c r="B355" i="243" s="1"/>
  <c r="G47" i="225"/>
  <c r="E51" i="125"/>
  <c r="J51" i="125" s="1"/>
  <c r="G7" i="125"/>
  <c r="E7" i="125"/>
  <c r="J7" i="125" s="1"/>
  <c r="D7" i="125"/>
  <c r="I7" i="125" s="1"/>
  <c r="I5" i="125"/>
  <c r="G5" i="125"/>
  <c r="H62" i="178"/>
  <c r="E8" i="178"/>
  <c r="H7" i="178"/>
  <c r="E7" i="178"/>
  <c r="N26" i="137"/>
  <c r="E40" i="131"/>
  <c r="E7" i="131"/>
  <c r="D7" i="131"/>
  <c r="B7" i="131"/>
  <c r="B5" i="131"/>
  <c r="E31" i="182"/>
  <c r="E7" i="182"/>
  <c r="D7" i="182"/>
  <c r="B7" i="182"/>
  <c r="E5" i="182"/>
  <c r="B5" i="182"/>
  <c r="E27" i="206"/>
  <c r="B7" i="206"/>
  <c r="C11" i="228"/>
  <c r="G8" i="228"/>
  <c r="E8" i="228"/>
  <c r="E7" i="228"/>
  <c r="E6" i="228"/>
  <c r="B11" i="225"/>
  <c r="F8" i="225"/>
  <c r="D8" i="225"/>
  <c r="D6" i="2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</author>
  </authors>
  <commentList>
    <comment ref="F6" authorId="0" shapeId="0" xr:uid="{E6A3B5E7-81D8-45AA-8D39-22E456F896AA}">
      <text>
        <r>
          <rPr>
            <b/>
            <sz val="9"/>
            <color indexed="81"/>
            <rFont val="Tahoma"/>
            <family val="2"/>
            <charset val="161"/>
          </rPr>
          <t xml:space="preserve">Middle Initial: Filipino Crew / Second Name: Polish Crew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</author>
  </authors>
  <commentList>
    <comment ref="L12" authorId="0" shapeId="0" xr:uid="{95164C53-BC99-46F4-B174-0F7A50ED4CDE}">
      <text>
        <r>
          <rPr>
            <b/>
            <sz val="11"/>
            <color indexed="81"/>
            <rFont val="Tahoma"/>
            <family val="2"/>
            <charset val="161"/>
          </rPr>
          <t>IT IS TAKING FROM COUNTRY OF BIRTH. MAKE SURE THAT IT IS CORRECT!!</t>
        </r>
      </text>
    </comment>
  </commentList>
</comments>
</file>

<file path=xl/sharedStrings.xml><?xml version="1.0" encoding="utf-8"?>
<sst xmlns="http://schemas.openxmlformats.org/spreadsheetml/2006/main" count="2217" uniqueCount="1012">
  <si>
    <t>MONEY DECLARATION</t>
  </si>
  <si>
    <t>Date of Birth</t>
  </si>
  <si>
    <t>Other Currencies</t>
  </si>
  <si>
    <t>SHIP'S MONEY DECLARATION</t>
  </si>
  <si>
    <t>Name of Article</t>
  </si>
  <si>
    <t>CONTROLLED MEDICINES / SUBSTANCES LIST</t>
  </si>
  <si>
    <t>Date:</t>
  </si>
  <si>
    <t>Dishwashing Machine</t>
  </si>
  <si>
    <t>Microwave Oven</t>
  </si>
  <si>
    <t>Electric Deep Fryer</t>
  </si>
  <si>
    <t>Electric Drinking Fountain</t>
  </si>
  <si>
    <t>Electric Dry Press/Steam Iron</t>
  </si>
  <si>
    <t>Electric Rice Cookers</t>
  </si>
  <si>
    <t>Electric Vaccum Cleaner</t>
  </si>
  <si>
    <t>Portable Meat Grinder</t>
  </si>
  <si>
    <t>Sliced Bread Toasters</t>
  </si>
  <si>
    <t>Portable Slicer</t>
  </si>
  <si>
    <t>Refrigerators (Assorted Sizes)</t>
  </si>
  <si>
    <t>Bread Maker Machine</t>
  </si>
  <si>
    <t>Laundry Washing Machines/Drying Machines</t>
  </si>
  <si>
    <t xml:space="preserve">Magic Sing Microphone &amp;  Regular Microphone </t>
  </si>
  <si>
    <t>DVD Players</t>
  </si>
  <si>
    <t>Mini-Component Stereo System</t>
  </si>
  <si>
    <t>Multi-Media Speakers</t>
  </si>
  <si>
    <t>Chess board set</t>
  </si>
  <si>
    <t xml:space="preserve">Dart Boards with extra Darts </t>
  </si>
  <si>
    <t>Sony Playstation w/ Asstd Game CD's</t>
  </si>
  <si>
    <t>Stationary Bicycle</t>
  </si>
  <si>
    <t>Table Tennis Play Set with Extra Rackets &amp; Balls</t>
  </si>
  <si>
    <t>Body Building Bench, Long Bar &amp; Weight Discs</t>
  </si>
  <si>
    <t>Hair Clipper w/ Accessories</t>
  </si>
  <si>
    <t>Mountain Bikes w/ Accessories</t>
  </si>
  <si>
    <t>Electronic TreadMill Machine</t>
  </si>
  <si>
    <t xml:space="preserve">Assorted CD's &amp; DVD's </t>
  </si>
  <si>
    <t>Television Set</t>
  </si>
  <si>
    <t>Loading</t>
  </si>
  <si>
    <t>Discharging</t>
  </si>
  <si>
    <t>SHIP'S CASH</t>
  </si>
  <si>
    <t>12. Date and signature by master, authorized agent or officer</t>
  </si>
  <si>
    <t>M a s t e r</t>
  </si>
  <si>
    <t>Contract Duration</t>
  </si>
  <si>
    <t>DOCUMENT/s Required on Arrival as per FairPlay/Agent</t>
  </si>
  <si>
    <t>Next Port</t>
  </si>
  <si>
    <t xml:space="preserve">  </t>
  </si>
  <si>
    <t>No.</t>
  </si>
  <si>
    <t>Rank</t>
  </si>
  <si>
    <t>Family Name</t>
  </si>
  <si>
    <t>Given Name</t>
  </si>
  <si>
    <t>Middle Initial</t>
  </si>
  <si>
    <t>Nationality</t>
  </si>
  <si>
    <t>Embarkation Date</t>
  </si>
  <si>
    <t>pcs</t>
  </si>
  <si>
    <t>PHILIPPINES</t>
  </si>
  <si>
    <t>FILIPINO</t>
  </si>
  <si>
    <t>Paint</t>
  </si>
  <si>
    <t>ltr</t>
  </si>
  <si>
    <t>Thinner</t>
  </si>
  <si>
    <t>kg</t>
  </si>
  <si>
    <t>6</t>
  </si>
  <si>
    <t>UN LOCODE</t>
  </si>
  <si>
    <t>External DVD Drive</t>
  </si>
  <si>
    <t>External Floppy Drive</t>
  </si>
  <si>
    <t>MASTER'S SIGNATURE</t>
  </si>
  <si>
    <t>Page 1/2</t>
  </si>
  <si>
    <t>Page 2/2</t>
  </si>
  <si>
    <t>NIL</t>
  </si>
  <si>
    <t>Address</t>
  </si>
  <si>
    <t>Contact Details</t>
  </si>
  <si>
    <t>Name</t>
  </si>
  <si>
    <t>DECK STORE</t>
  </si>
  <si>
    <t>Present Voyage No.</t>
  </si>
  <si>
    <t>Salt</t>
  </si>
  <si>
    <t>Bread</t>
  </si>
  <si>
    <t>1/1</t>
  </si>
  <si>
    <t>Eggs</t>
  </si>
  <si>
    <t>unit</t>
  </si>
  <si>
    <t>And all other articles of equipment and instruments for the proper working and safe navigation of the vessel.</t>
  </si>
  <si>
    <t>tin</t>
  </si>
  <si>
    <t>SHIP'S PROPERTY LIST</t>
  </si>
  <si>
    <t xml:space="preserve">  1.1 Name and type of ship</t>
  </si>
  <si>
    <t xml:space="preserve">  1.2 IMO number</t>
  </si>
  <si>
    <t xml:space="preserve">  1.3 Call sign</t>
  </si>
  <si>
    <r>
      <t xml:space="preserve">  2. Port of arrival/</t>
    </r>
    <r>
      <rPr>
        <strike/>
        <sz val="10"/>
        <rFont val="Times New Roman"/>
        <family val="1"/>
      </rPr>
      <t>departure</t>
    </r>
  </si>
  <si>
    <r>
      <t xml:space="preserve">  3. Date of arrival/</t>
    </r>
    <r>
      <rPr>
        <strike/>
        <sz val="10"/>
        <rFont val="Times New Roman"/>
        <family val="1"/>
      </rPr>
      <t>departure</t>
    </r>
  </si>
  <si>
    <t xml:space="preserve">  4. Flag State of ship</t>
  </si>
  <si>
    <t xml:space="preserve">  5. Last port of call</t>
  </si>
  <si>
    <t xml:space="preserve">  10. Nationality</t>
  </si>
  <si>
    <t xml:space="preserve">        Arrival                    Departure</t>
  </si>
  <si>
    <t>IMO CREW LIST</t>
  </si>
  <si>
    <t>Departure Date</t>
  </si>
  <si>
    <t>Cargo Operation</t>
  </si>
  <si>
    <t>months</t>
  </si>
  <si>
    <t>Multimedia Drive 1TBytes</t>
  </si>
  <si>
    <t>Vessel</t>
  </si>
  <si>
    <t>Date of Arrival</t>
  </si>
  <si>
    <t>Port of Arrival</t>
  </si>
  <si>
    <t>Mobile Phone w/ Charger</t>
  </si>
  <si>
    <t>Portable Canon Scanner</t>
  </si>
  <si>
    <t>Network Hub</t>
  </si>
  <si>
    <t>Network Modulator</t>
  </si>
  <si>
    <t>Modem</t>
  </si>
  <si>
    <t>Chartco Receiver Set</t>
  </si>
  <si>
    <t>DocuSeal Laminator</t>
  </si>
  <si>
    <t>Mounted Paper Cutter</t>
  </si>
  <si>
    <t>Digital Camera</t>
  </si>
  <si>
    <t>Handheld Intrinsically Safe UHF Radio Sets</t>
  </si>
  <si>
    <t>Handheld Searchlight w/ Charger</t>
  </si>
  <si>
    <t>Coffee Makers</t>
  </si>
  <si>
    <t>Universal Cooking Mixer (Kenwood)</t>
  </si>
  <si>
    <t>Electric Airpots/Kettles</t>
  </si>
  <si>
    <t>INCLUDING  NARCOTIC SUBSTITUTES</t>
  </si>
  <si>
    <t>mt</t>
  </si>
  <si>
    <t>ltrs</t>
  </si>
  <si>
    <t>Operator</t>
  </si>
  <si>
    <t>No. of Passengers</t>
  </si>
  <si>
    <t>N/A</t>
  </si>
  <si>
    <t>Classification</t>
  </si>
  <si>
    <t>Trading Area</t>
  </si>
  <si>
    <t>VOYAGE's Basic Details</t>
  </si>
  <si>
    <t>Last Port</t>
  </si>
  <si>
    <t>CREW CURRENCY DECLARATION</t>
  </si>
  <si>
    <t>Port of Embarkation</t>
  </si>
  <si>
    <t>Sugar</t>
  </si>
  <si>
    <t>Quantity</t>
  </si>
  <si>
    <t>pkt</t>
  </si>
  <si>
    <t>IMO Port Clearance Documents</t>
  </si>
  <si>
    <t>Suez Canal ID</t>
  </si>
  <si>
    <t>PHL</t>
  </si>
  <si>
    <t>M</t>
  </si>
  <si>
    <t>9</t>
  </si>
  <si>
    <t>Expiration of contract - date</t>
  </si>
  <si>
    <t>Gross Tonnage</t>
  </si>
  <si>
    <t>Call Sign</t>
  </si>
  <si>
    <t>Port Registry</t>
  </si>
  <si>
    <t>Net Tonnage</t>
  </si>
  <si>
    <t>Vessel Type</t>
  </si>
  <si>
    <t>Panama Canal SIN</t>
  </si>
  <si>
    <t>Last Port Call</t>
  </si>
  <si>
    <t>Expiry Date</t>
  </si>
  <si>
    <t>Signature</t>
  </si>
  <si>
    <t>Year Build</t>
  </si>
  <si>
    <t>VESSEL'S BASIC INFORMATION</t>
  </si>
  <si>
    <t>Vessel Name</t>
  </si>
  <si>
    <t xml:space="preserve"> </t>
  </si>
  <si>
    <t>Rice</t>
  </si>
  <si>
    <t>FRESH VICTUALS</t>
  </si>
  <si>
    <t>kgs</t>
  </si>
  <si>
    <t>Lube Oil</t>
  </si>
  <si>
    <t>Fresh Water</t>
  </si>
  <si>
    <t>ARMS AND AMMUNITION LIST</t>
  </si>
  <si>
    <t xml:space="preserve">    </t>
  </si>
  <si>
    <t>Name of Master</t>
  </si>
  <si>
    <t>Country</t>
  </si>
  <si>
    <t>Arrival Date</t>
  </si>
  <si>
    <t>set</t>
  </si>
  <si>
    <t>****   Under master's care in safe locker   ****</t>
  </si>
  <si>
    <t>Master</t>
  </si>
  <si>
    <t>Place of Birth (Passport)</t>
  </si>
  <si>
    <t>Country of Birth      (Passport)</t>
  </si>
  <si>
    <t>Nationality             (Passport)</t>
  </si>
  <si>
    <t>Nationality                                 (Singapore format)</t>
  </si>
  <si>
    <t>Gender Passport</t>
  </si>
  <si>
    <t>Date Registry</t>
  </si>
  <si>
    <t>IMO No.</t>
  </si>
  <si>
    <t>Official Registry No.</t>
  </si>
  <si>
    <t>pc</t>
  </si>
  <si>
    <t>btl/jar</t>
  </si>
  <si>
    <t>Vessel's Agent</t>
  </si>
  <si>
    <t>3</t>
  </si>
  <si>
    <t>WORLDWIDE</t>
  </si>
  <si>
    <t>Owner</t>
  </si>
  <si>
    <t>No. of Crew</t>
  </si>
  <si>
    <t>IMO SHIP'S STORES DECLARATION</t>
  </si>
  <si>
    <t>IMO    FAL Form 3</t>
  </si>
  <si>
    <t xml:space="preserve">  6. Number of person on</t>
  </si>
  <si>
    <t xml:space="preserve">  board</t>
  </si>
  <si>
    <t xml:space="preserve">  7. Period of stay</t>
  </si>
  <si>
    <t xml:space="preserve">  11. Official use</t>
  </si>
  <si>
    <t>Description of Cargo</t>
  </si>
  <si>
    <t>Charterers</t>
  </si>
  <si>
    <t>Full Middle Name</t>
  </si>
  <si>
    <t xml:space="preserve">  Page No.</t>
  </si>
  <si>
    <t>Convention on Facilitation of International Maritime Traffic</t>
  </si>
  <si>
    <t>Electric Hand Mixer</t>
  </si>
  <si>
    <t>360-734-5194</t>
  </si>
  <si>
    <t>Left Anchorage: 28-Aug-13</t>
  </si>
  <si>
    <t>23-SEPT-13 - IN ANCHORAGE</t>
  </si>
  <si>
    <t>1st STS on 10-Oct-13 1500HLT- 11-Oct-13 07:18LT</t>
  </si>
  <si>
    <t>Anchorage 15-Oct-13 - Crew Change/Bunkering/Provisions/ Transitted 19-oct-13</t>
  </si>
  <si>
    <t>Anchorage 19-Oct-13 waiting for orders</t>
  </si>
  <si>
    <t>Wifi Router/Wifi Access Point</t>
  </si>
  <si>
    <t>Anchorage 26-30-Oct-13   berthed: 31-oct-13 nustar terminal</t>
  </si>
  <si>
    <t>Anchorage 04-Nov-13 to  10-Nov-13</t>
  </si>
  <si>
    <t>Anchorage 12-Nov-13 to 15-Nov-13</t>
  </si>
  <si>
    <t>24-nov-13 Port was closed due to weather. Drifting until 26-Nov-13</t>
  </si>
  <si>
    <t>After Discharging Cargo 27-nov-13 commence loading , Went to Anchorage 29-Nov-13 until 05-dec-13</t>
  </si>
  <si>
    <t>Hess Terminal Bayonne</t>
  </si>
  <si>
    <t>IMT TERMINAL BAYONNE - 14-Dec-13 Left to Anchorage till 15-Dec-13</t>
  </si>
  <si>
    <t>Platinum Videoke Player w/ 2 mic and extra mic cable</t>
  </si>
  <si>
    <t>ASUS/DELL/HP/COMPAQ Computer System w/ UPS</t>
  </si>
  <si>
    <t>After Completion Drifiting From 11-Jan-14 until 02-Feb-14</t>
  </si>
  <si>
    <t>Gordon Terminal Bayonne</t>
  </si>
  <si>
    <t>IMT Terminal Bayonne</t>
  </si>
  <si>
    <t>01-Mar-14 Anchored  until 06-Mar-14</t>
  </si>
  <si>
    <t xml:space="preserve">26-Mar-14 - Arrive at Westhinder Anchorage </t>
  </si>
  <si>
    <t>Arrived in Anchorage 24-Apr-14</t>
  </si>
  <si>
    <t>Arrived in Anchorage 17-Apr-14 to 20-May-14</t>
  </si>
  <si>
    <t>Bunkering only</t>
  </si>
  <si>
    <t>Drifting/Anchorage</t>
  </si>
  <si>
    <t xml:space="preserve">5 STS </t>
  </si>
  <si>
    <r>
      <t xml:space="preserve">  3. Date of arrival</t>
    </r>
    <r>
      <rPr>
        <strike/>
        <sz val="10"/>
        <rFont val="Times New Roman"/>
        <family val="1"/>
      </rPr>
      <t>/departure</t>
    </r>
  </si>
  <si>
    <t>Printer HP DeskJet 6940</t>
  </si>
  <si>
    <t>Printer HP LaserJet 1320</t>
  </si>
  <si>
    <t>Printer EPSON LQ-300+</t>
  </si>
  <si>
    <t>Printer SKANTI PRN 9000</t>
  </si>
  <si>
    <t>Printer HP Officejet Pro 8500A Plus</t>
  </si>
  <si>
    <t>Printer HP Officejet Pro 8100</t>
  </si>
  <si>
    <t>Printer Canon Ir1024f</t>
  </si>
  <si>
    <t>Printer EZ Label Printer KL-780</t>
  </si>
  <si>
    <t>Printer Brother DCP 7030</t>
  </si>
  <si>
    <t>Printer DOT Matrix M3389C</t>
  </si>
  <si>
    <t>VHS Player</t>
  </si>
  <si>
    <t>Guitars set</t>
  </si>
  <si>
    <t>Printer Samsung  SF565P</t>
  </si>
  <si>
    <t>Radio/CD Cassette Players ( cabin)</t>
  </si>
  <si>
    <t>Lifetime</t>
  </si>
  <si>
    <t>20/04</t>
  </si>
  <si>
    <t>Arrival Port</t>
  </si>
  <si>
    <t xml:space="preserve">No.529 Lanshan East Road,Lanshan District,Rizhao City,China 
Post Code:276808 
</t>
  </si>
  <si>
    <t>LNG/C</t>
  </si>
  <si>
    <t>Alpha Gas S.A.</t>
  </si>
  <si>
    <t>9859739</t>
  </si>
  <si>
    <t>GREECE</t>
  </si>
  <si>
    <t>GRC</t>
  </si>
  <si>
    <t>MSM</t>
  </si>
  <si>
    <t>BONDED STORE</t>
  </si>
  <si>
    <t>KRIBI, CAMEROON</t>
  </si>
  <si>
    <t>LNG</t>
  </si>
  <si>
    <t xml:space="preserve">  1.1 Name of ship</t>
  </si>
  <si>
    <t xml:space="preserve">  12. Place of birth</t>
  </si>
  <si>
    <t>11. Date of birth</t>
  </si>
  <si>
    <t>6. No.</t>
  </si>
  <si>
    <t>7. Family name</t>
  </si>
  <si>
    <t>8. Given names</t>
  </si>
  <si>
    <t>13. Gender</t>
  </si>
  <si>
    <t>9. Place of birth</t>
  </si>
  <si>
    <t>12. Serial number of identity or travel document</t>
  </si>
  <si>
    <t>13. Issuing State of identity or travel document</t>
  </si>
  <si>
    <t>17. Port of disembarkation</t>
  </si>
  <si>
    <t>18. Transit passenger or not</t>
  </si>
  <si>
    <t xml:space="preserve">  1.2  IMO number</t>
  </si>
  <si>
    <t>18. Date and signature by master, authorized agent or officer</t>
  </si>
  <si>
    <t>14. Nature of identity document</t>
  </si>
  <si>
    <t>15. Number of identity document</t>
  </si>
  <si>
    <t>16. Issuing State of identity document</t>
  </si>
  <si>
    <t xml:space="preserve">17. Expiry date of identity document      </t>
  </si>
  <si>
    <t>PASSPORT</t>
  </si>
  <si>
    <t>IMO FAL FORM 5</t>
  </si>
  <si>
    <t xml:space="preserve">  8. Name of article</t>
  </si>
  <si>
    <t xml:space="preserve">  9. Quantity</t>
  </si>
  <si>
    <t>10. Location on board</t>
  </si>
  <si>
    <t>11. Official Use</t>
  </si>
  <si>
    <t xml:space="preserve">  1.4 Voyage number                     002B</t>
  </si>
  <si>
    <t>12.  Signature by master, authorized agent or officer</t>
  </si>
  <si>
    <r>
      <t xml:space="preserve">2. Port of </t>
    </r>
    <r>
      <rPr>
        <strike/>
        <sz val="10"/>
        <rFont val="Times New Roman"/>
        <family val="1"/>
        <charset val="161"/>
      </rPr>
      <t>arrival</t>
    </r>
    <r>
      <rPr>
        <sz val="10"/>
        <rFont val="Times New Roman"/>
        <family val="1"/>
        <charset val="161"/>
      </rPr>
      <t>/departure</t>
    </r>
  </si>
  <si>
    <t>8. UN Number</t>
  </si>
  <si>
    <t xml:space="preserve">  1.4 Voyage number         </t>
  </si>
  <si>
    <t>IMO FAL FORM 3</t>
  </si>
  <si>
    <t>DANGEROUS GOODS MANIFEST</t>
  </si>
  <si>
    <t>(IMO FAL Form 7)</t>
  </si>
  <si>
    <t xml:space="preserve">5. STOWAGE POSITION
</t>
  </si>
  <si>
    <t>6. Reference Number</t>
  </si>
  <si>
    <t xml:space="preserve">7. Marks &amp; Numbers
- Freight container Identification No(s)
Vehicle registration No(s)
</t>
  </si>
  <si>
    <t>9.  Proper Shipping Name/(Technical Specifications)</t>
  </si>
  <si>
    <t>10. Class/ (Subsidiary Risk(s))</t>
  </si>
  <si>
    <t>11. Packing Group</t>
  </si>
  <si>
    <t>12. Additional Information/Marine Pollutant/Flash point/etc.</t>
  </si>
  <si>
    <t>13. Number and kind of packages</t>
  </si>
  <si>
    <t>14. Mass (kg) or Volume (L)</t>
  </si>
  <si>
    <t>15. EMS</t>
  </si>
  <si>
    <t>16. SHIPPING AGENT</t>
  </si>
  <si>
    <t>16.1 PLACE AND DATE</t>
  </si>
  <si>
    <t>PAGE NUMBER 1/1</t>
  </si>
  <si>
    <t>Signature of Agent</t>
  </si>
  <si>
    <t>HELLENIC</t>
  </si>
  <si>
    <t xml:space="preserve">  1.4 Voyage number                            </t>
  </si>
  <si>
    <r>
      <t xml:space="preserve">  3.  Date of </t>
    </r>
    <r>
      <rPr>
        <strike/>
        <sz val="10"/>
        <rFont val="Times New Roman"/>
        <family val="1"/>
        <charset val="161"/>
      </rPr>
      <t>arrival</t>
    </r>
    <r>
      <rPr>
        <sz val="10"/>
        <rFont val="Times New Roman"/>
        <family val="1"/>
      </rPr>
      <t>/departure</t>
    </r>
  </si>
  <si>
    <t xml:space="preserve">          </t>
  </si>
  <si>
    <t>CT 1,2,3,4</t>
  </si>
  <si>
    <t>LNG - Liquified Natural Gas</t>
  </si>
  <si>
    <t>2.1</t>
  </si>
  <si>
    <t>TOTAL CIGARETTES</t>
  </si>
  <si>
    <t>cartons</t>
  </si>
  <si>
    <t>SHIP'S CASH MONEY (in Master's Safe)</t>
  </si>
  <si>
    <t>NIL CARGO MANIFEST</t>
  </si>
  <si>
    <t>CARGO ON BOARD</t>
  </si>
  <si>
    <t>USD</t>
  </si>
  <si>
    <t>Expiration Date</t>
  </si>
  <si>
    <t>MASTER</t>
  </si>
  <si>
    <t>MARITIME DECLARATION OF HEALTH</t>
  </si>
  <si>
    <t>To be completed and sudmitted to the competed authorities by the Masters of ships arriving from foreign ports</t>
  </si>
  <si>
    <t>Submitted at the port of</t>
  </si>
  <si>
    <t>Date</t>
  </si>
  <si>
    <t>Name of Ship or inland navigation vessel</t>
  </si>
  <si>
    <t>Registration/IMO No</t>
  </si>
  <si>
    <t>arriving from</t>
  </si>
  <si>
    <t>Sailing to</t>
  </si>
  <si>
    <t>(Nationality)(Flag of vessel)</t>
  </si>
  <si>
    <t>Master's name</t>
  </si>
  <si>
    <t>Gross tonnage (ship)</t>
  </si>
  <si>
    <t>Tonnage (inland navigation vessel)</t>
  </si>
  <si>
    <t>Valid Sanitation Control Exemption/Control  Certificate carried on board?</t>
  </si>
  <si>
    <t>Issued at</t>
  </si>
  <si>
    <t xml:space="preserve">Re-inspection required? </t>
  </si>
  <si>
    <t>Has ship/vessel visited an affected area identified by the World Health Organization?</t>
  </si>
  <si>
    <t>Port and date of visit</t>
  </si>
  <si>
    <t>List ports of call from commencement of voyage with dates of departure, or within past thirty days, whichever is shorter:</t>
  </si>
  <si>
    <t>Upon request of the competent authority at the port of arrival, list crew members, passengers or other persons who have joined ship/vessel</t>
  </si>
  <si>
    <t xml:space="preserve">since international voyage began or within past thirty days, whichever is shorter, includind all ports/countries visited in this period </t>
  </si>
  <si>
    <t>(add additional names to the attached schedule):</t>
  </si>
  <si>
    <t>(1) Name</t>
  </si>
  <si>
    <t>joined from: (1)</t>
  </si>
  <si>
    <t>(2).</t>
  </si>
  <si>
    <t>(3).</t>
  </si>
  <si>
    <t>(2) Name</t>
  </si>
  <si>
    <t>(3) Name</t>
  </si>
  <si>
    <t>(4) Name</t>
  </si>
  <si>
    <t>(5) Name</t>
  </si>
  <si>
    <t>(6) Name</t>
  </si>
  <si>
    <t>(7) Name</t>
  </si>
  <si>
    <t>Number of crew members on board</t>
  </si>
  <si>
    <t>persons</t>
  </si>
  <si>
    <t>Number of passenger on board</t>
  </si>
  <si>
    <t>Health Questions</t>
  </si>
  <si>
    <t>Yes</t>
  </si>
  <si>
    <t xml:space="preserve"> No</t>
  </si>
  <si>
    <t>(1) Has any person died on board during the voyage otherwise than as result of accident?</t>
  </si>
  <si>
    <t xml:space="preserve">      if yes, state particulars in attached schedule.                           Total no. of deaths     </t>
  </si>
  <si>
    <t xml:space="preserve">(2) Is there on board or has there been during the international voyage any case of disease which you suspect to be of an </t>
  </si>
  <si>
    <t xml:space="preserve">       infectious nature? if yes, state particulars in attached schedule. </t>
  </si>
  <si>
    <t>(3) Has the total number of ill passenger during the voyage been greater than normal / expected?</t>
  </si>
  <si>
    <t xml:space="preserve">      How many ill persons?</t>
  </si>
  <si>
    <t xml:space="preserve">(4) Is there any ill person on board now? if yes, state particulars in attached schedule. </t>
  </si>
  <si>
    <t xml:space="preserve">(5) Was a medical practitioner cosulted? if yes, state particulars of medical treatment or adviceprovided in attached schedule. </t>
  </si>
  <si>
    <t>(6) Are you aware of any condition on board which may lead to infection or spread of desease?</t>
  </si>
  <si>
    <t xml:space="preserve">     if yes, state particulars in attached schedule. </t>
  </si>
  <si>
    <t xml:space="preserve">(7) Has any sanitary measure (e.g. quarantine, isolation, disinfection or decontamination) been applied on board? </t>
  </si>
  <si>
    <t xml:space="preserve">      If yes, specify type, place and date</t>
  </si>
  <si>
    <t>(8) Have any stowaways been found on board? If yes, where did they join the ship (if known) ?</t>
  </si>
  <si>
    <t>(9) Is there a sick animal or pet on board?</t>
  </si>
  <si>
    <r>
      <t>Note</t>
    </r>
    <r>
      <rPr>
        <sz val="8"/>
        <rFont val="Arial"/>
        <family val="2"/>
        <charset val="161"/>
      </rPr>
      <t>: In the absence of surgeon, Master sould regard the following syptoms as grounds for suspecting the existence of a disease of an</t>
    </r>
  </si>
  <si>
    <t>infection nature:</t>
  </si>
  <si>
    <t xml:space="preserve">           (a)      fever, persisting for several days or accompanied by (i) prostration, (ii) decreased consciousness, (iii) glandular swelling;</t>
  </si>
  <si>
    <t>(iv) jaundice; (v) cough or shortness of breadth; (vi) unusual bleeding; or (vii) paralysis.</t>
  </si>
  <si>
    <t xml:space="preserve">           (b)      with or without fever: (i) any acute skin rash or eruption ; (ii) sever vomiting (other than sea sickness); (iii) severe </t>
  </si>
  <si>
    <t>diarrhoea; or (iv) convulsion.</t>
  </si>
  <si>
    <t>I hereby declarate that the particulars and answers to the quenstions given in this declaration of health (inclunding the schedule) are true and</t>
  </si>
  <si>
    <t>correct to the best of my knowledge and belief</t>
  </si>
  <si>
    <t>Signed:</t>
  </si>
  <si>
    <t>Countersigned:</t>
  </si>
  <si>
    <t>ANIMALS &amp; BIRDS</t>
  </si>
  <si>
    <t xml:space="preserve">  9. Rank or rating</t>
  </si>
  <si>
    <t>26-</t>
  </si>
  <si>
    <t>07</t>
  </si>
  <si>
    <t xml:space="preserve">                     IMO CREW LIST</t>
  </si>
  <si>
    <t>(8) Name</t>
  </si>
  <si>
    <t>(9) Name</t>
  </si>
  <si>
    <t>(10) Name</t>
  </si>
  <si>
    <t>DUNKIRK LNG TERMINAL</t>
  </si>
  <si>
    <t>FRDKK</t>
  </si>
  <si>
    <t xml:space="preserve">ENERGY INTEGRITY  </t>
  </si>
  <si>
    <t xml:space="preserve">Vaccination for COVID-19 </t>
  </si>
  <si>
    <t>Family name</t>
  </si>
  <si>
    <t>Given names</t>
  </si>
  <si>
    <t xml:space="preserve">Rank </t>
  </si>
  <si>
    <t xml:space="preserve"> Nationality</t>
  </si>
  <si>
    <t>Date of birth</t>
  </si>
  <si>
    <t>Place of birth</t>
  </si>
  <si>
    <t>COVID-19 VACCINE</t>
  </si>
  <si>
    <t>9. Date and signature by master, authorized agent or officer</t>
  </si>
  <si>
    <t>Vaccination Dose</t>
  </si>
  <si>
    <t xml:space="preserve">                      Ship's Surgeon, (if carried)</t>
  </si>
  <si>
    <t>Dunkirk, France</t>
  </si>
  <si>
    <t>LIST OF PORTS</t>
  </si>
  <si>
    <t>1.2 IMO NUMBER</t>
  </si>
  <si>
    <t>1.4 Voyage number</t>
  </si>
  <si>
    <t>2. Flag State of ship</t>
  </si>
  <si>
    <t>1.1  Name of ship</t>
  </si>
  <si>
    <t>1.3 Call sign</t>
  </si>
  <si>
    <t>3. Port of Loading</t>
  </si>
  <si>
    <r>
      <t xml:space="preserve">  5. Last port of call/</t>
    </r>
    <r>
      <rPr>
        <strike/>
        <sz val="10"/>
        <rFont val="Times New Roman"/>
        <family val="1"/>
        <charset val="161"/>
      </rPr>
      <t>Next port of call</t>
    </r>
  </si>
  <si>
    <t>(As required by SOLAS 74, chapter VII, regulation 4.5 and 7.2.2, MARPOL 73/78, Annex III, regulation 4(3) and chapter 5.4, paragraph 5.4.3.1 of the IMDG Code)</t>
  </si>
  <si>
    <t>LIST OF LAST 10 PORT OF CALL</t>
  </si>
  <si>
    <t>V 013</t>
  </si>
  <si>
    <t>Discharging/ Receiving Stores/Provision/Crew Change</t>
  </si>
  <si>
    <t>Date of SEA signed</t>
  </si>
  <si>
    <t>Type (Original, CRA or Copy)</t>
  </si>
  <si>
    <t>Original</t>
  </si>
  <si>
    <t>CRA</t>
  </si>
  <si>
    <t>SAME BOTTOM &amp; DECK CARGO</t>
  </si>
  <si>
    <t>ARMS &amp; AMMUNITIONS</t>
  </si>
  <si>
    <t>ATTACHMENT TO MARITIME DECLARATION OF HEALTH</t>
  </si>
  <si>
    <t>Class or Rating</t>
  </si>
  <si>
    <t>Age</t>
  </si>
  <si>
    <t>Sex</t>
  </si>
  <si>
    <t>Port, date joined ship/vessel</t>
  </si>
  <si>
    <t>Nature of illness</t>
  </si>
  <si>
    <t>Date of onset of symptoms</t>
  </si>
  <si>
    <t>Reported to a port medical officer?</t>
  </si>
  <si>
    <t>Disposal of case*</t>
  </si>
  <si>
    <t xml:space="preserve">   * State: (1) whether the person recovered, is still ill or died; and (2) whether the person is still on board, was wevacuated (including the name of the port or airport), or was buried at sea</t>
  </si>
  <si>
    <t>11. Embarkation date</t>
  </si>
  <si>
    <t xml:space="preserve">  12. Embarkation port</t>
  </si>
  <si>
    <t>MAIL &amp; PARCELS</t>
  </si>
  <si>
    <t>GIBRALTAR</t>
  </si>
  <si>
    <t>GIGIB</t>
  </si>
  <si>
    <t>Pfizer-BioNTech</t>
  </si>
  <si>
    <t>-</t>
  </si>
  <si>
    <t>PASSENGER &amp; STOWAWAYS</t>
  </si>
  <si>
    <t>N.P.C.</t>
  </si>
  <si>
    <t xml:space="preserve">SECURITY GUARD OR FIREARMS </t>
  </si>
  <si>
    <t>DECK CADET</t>
  </si>
  <si>
    <t>SGSIN</t>
  </si>
  <si>
    <t>ZACPT</t>
  </si>
  <si>
    <t>ARRIVAL</t>
  </si>
  <si>
    <t>DEPARTURE</t>
  </si>
  <si>
    <t>REASON OF CALL</t>
  </si>
  <si>
    <r>
      <t>CREW</t>
    </r>
    <r>
      <rPr>
        <sz val="14"/>
        <rFont val="Arial"/>
        <family val="2"/>
      </rPr>
      <t>'</t>
    </r>
    <r>
      <rPr>
        <b/>
        <sz val="14"/>
        <rFont val="Arial"/>
        <family val="2"/>
      </rPr>
      <t>S EFFECTS DECLARATION</t>
    </r>
  </si>
  <si>
    <t>(IMO FAL Form 4)</t>
  </si>
  <si>
    <t>1.1 Name of ship</t>
  </si>
  <si>
    <t>1.2 IMO number</t>
  </si>
  <si>
    <t>7. Effects ineligible for relief from customs duties and taxes or subject to prohibitions or restrictions</t>
  </si>
  <si>
    <t>3. No.</t>
  </si>
  <si>
    <r>
      <t>4.</t>
    </r>
    <r>
      <rPr>
        <sz val="12"/>
        <color rgb="FFFF0000"/>
        <rFont val="Arial"/>
        <family val="2"/>
      </rPr>
      <t xml:space="preserve"> </t>
    </r>
    <r>
      <rPr>
        <sz val="12"/>
        <color theme="1"/>
        <rFont val="Arial"/>
        <family val="2"/>
      </rPr>
      <t>Family name</t>
    </r>
  </si>
  <si>
    <t>5. Given names</t>
  </si>
  <si>
    <t>6. Rank or rating</t>
  </si>
  <si>
    <t>Spirits</t>
  </si>
  <si>
    <t>Cigarettes</t>
  </si>
  <si>
    <t>Tobacco</t>
  </si>
  <si>
    <t>8. Signature</t>
  </si>
  <si>
    <t xml:space="preserve">          Master</t>
  </si>
  <si>
    <t>Crew Effects</t>
  </si>
  <si>
    <t>Departure Voyage No.</t>
  </si>
  <si>
    <t>5. Family name</t>
  </si>
  <si>
    <t>PASSENGER LIST</t>
  </si>
  <si>
    <t>(IMO FAL Form 6)</t>
  </si>
  <si>
    <t>X</t>
  </si>
  <si>
    <t>Arrival</t>
  </si>
  <si>
    <t>Departure</t>
  </si>
  <si>
    <t>Page Number</t>
  </si>
  <si>
    <t>1.2  IMO number</t>
  </si>
  <si>
    <t>1.3 Call Sign</t>
  </si>
  <si>
    <t>1.4  Voyage number</t>
  </si>
  <si>
    <r>
      <t>2. Port of arrival/</t>
    </r>
    <r>
      <rPr>
        <strike/>
        <sz val="12"/>
        <color theme="1"/>
        <rFont val="Times New Roman"/>
        <family val="1"/>
        <charset val="161"/>
      </rPr>
      <t>departure</t>
    </r>
  </si>
  <si>
    <r>
      <t>3. Date of arrival/</t>
    </r>
    <r>
      <rPr>
        <strike/>
        <sz val="12"/>
        <color theme="1"/>
        <rFont val="Times New Roman"/>
        <family val="1"/>
      </rPr>
      <t>departure</t>
    </r>
  </si>
  <si>
    <t>4. Flag State of ship</t>
  </si>
  <si>
    <t>4.Flag state of ship</t>
  </si>
  <si>
    <t>6. Given names</t>
  </si>
  <si>
    <t>7. Nationality</t>
  </si>
  <si>
    <t>8. Date of birth</t>
  </si>
  <si>
    <t xml:space="preserve">10. Gender </t>
  </si>
  <si>
    <t>11. Type of identity or travel document</t>
  </si>
  <si>
    <t xml:space="preserve">14.Expiry date of identity or travel document </t>
  </si>
  <si>
    <t>15. Port of embarkation</t>
  </si>
  <si>
    <t>16. Visa number if appropriate</t>
  </si>
  <si>
    <t>19. Date and signature by master, authorized agent or officer</t>
  </si>
  <si>
    <t>NIL List</t>
  </si>
  <si>
    <t>1.</t>
  </si>
  <si>
    <t>2.</t>
  </si>
  <si>
    <t>3.</t>
  </si>
  <si>
    <t>US Dollars</t>
  </si>
  <si>
    <t>Euro</t>
  </si>
  <si>
    <t>Last Port of Call</t>
  </si>
  <si>
    <t>IN BULK</t>
  </si>
  <si>
    <t>`</t>
  </si>
  <si>
    <t>Copy</t>
  </si>
  <si>
    <t xml:space="preserve">  5. Next Port of call</t>
  </si>
  <si>
    <t>approx. 159500m3</t>
  </si>
  <si>
    <t>Energy Endurance</t>
  </si>
  <si>
    <t>V7A7282</t>
  </si>
  <si>
    <t>Majuro</t>
  </si>
  <si>
    <t>Marshall Islands</t>
  </si>
  <si>
    <t>U.S.A.</t>
  </si>
  <si>
    <t>Markoni Navigation S.A.</t>
  </si>
  <si>
    <t>NFE Transport Partners LLC</t>
  </si>
  <si>
    <t>Lloyd's Register</t>
  </si>
  <si>
    <t>CHIEF OFF</t>
  </si>
  <si>
    <t>2ND OFF</t>
  </si>
  <si>
    <t>3RD OFF</t>
  </si>
  <si>
    <t>CHIEF ENG</t>
  </si>
  <si>
    <t>2ND ENG</t>
  </si>
  <si>
    <t>3RD ENG</t>
  </si>
  <si>
    <t>4TH ENG</t>
  </si>
  <si>
    <t xml:space="preserve">GAS ENG </t>
  </si>
  <si>
    <t>SETO</t>
  </si>
  <si>
    <t>BOSUN</t>
  </si>
  <si>
    <t>AB</t>
  </si>
  <si>
    <t>P</t>
  </si>
  <si>
    <t>OS</t>
  </si>
  <si>
    <t>FITTER</t>
  </si>
  <si>
    <t>MTM</t>
  </si>
  <si>
    <t>CHIEF COOK</t>
  </si>
  <si>
    <t>ASS COOK</t>
  </si>
  <si>
    <t>DACANAY</t>
  </si>
  <si>
    <t>ABES</t>
  </si>
  <si>
    <t>JAYSON</t>
  </si>
  <si>
    <t>F</t>
  </si>
  <si>
    <t>JAMES DARWIN</t>
  </si>
  <si>
    <t>ACULIT</t>
  </si>
  <si>
    <t>MIKE LISLIE</t>
  </si>
  <si>
    <t>C</t>
  </si>
  <si>
    <t>L</t>
  </si>
  <si>
    <t>S</t>
  </si>
  <si>
    <t>UKRAINE</t>
  </si>
  <si>
    <t>BAGO CITY</t>
  </si>
  <si>
    <t>SISON PANGASINAN</t>
  </si>
  <si>
    <t>GITAGUM MIS OR</t>
  </si>
  <si>
    <t>UKRAINIAN</t>
  </si>
  <si>
    <t>ROMANIAN</t>
  </si>
  <si>
    <t>ROMANIA</t>
  </si>
  <si>
    <t>UKR</t>
  </si>
  <si>
    <t>ROU</t>
  </si>
  <si>
    <t>P3505092B</t>
  </si>
  <si>
    <t>P6556840B</t>
  </si>
  <si>
    <t>P3071209C</t>
  </si>
  <si>
    <t>H.P.H./P.S.D.D.</t>
  </si>
  <si>
    <t>DFA BACOLOD</t>
  </si>
  <si>
    <t>DFA MANILA</t>
  </si>
  <si>
    <t>DFA LA UNION</t>
  </si>
  <si>
    <t>DFA NCR EAST</t>
  </si>
  <si>
    <t>DFA BUTUAN</t>
  </si>
  <si>
    <t xml:space="preserve">1 Mobile phone,1 Earphone, 1 Powerbank, 1 Smartwatch, 1 Speaker, OTG </t>
  </si>
  <si>
    <t xml:space="preserve">A </t>
  </si>
  <si>
    <t>PELLION</t>
  </si>
  <si>
    <t>LALATA</t>
  </si>
  <si>
    <t>ACURAM</t>
  </si>
  <si>
    <t>WILHELMSHAVEN, GERMANY</t>
  </si>
  <si>
    <t>Passport</t>
  </si>
  <si>
    <t>Number</t>
  </si>
  <si>
    <t>Issuing State</t>
  </si>
  <si>
    <t>U.S. Visa</t>
  </si>
  <si>
    <t>Control Number</t>
  </si>
  <si>
    <t>Foil Number</t>
  </si>
  <si>
    <t xml:space="preserve">Marshall
Endorsement Certificate Expiry Date </t>
  </si>
  <si>
    <t xml:space="preserve"> Expiry date</t>
  </si>
  <si>
    <t>National Seaman`s Book</t>
  </si>
  <si>
    <t>C1401071</t>
  </si>
  <si>
    <t>C1033223</t>
  </si>
  <si>
    <t>A0067860</t>
  </si>
  <si>
    <t>Tramadol Capsules</t>
  </si>
  <si>
    <t>Tramadol 50mg</t>
  </si>
  <si>
    <t>Tramadol Injection</t>
  </si>
  <si>
    <t>Tramadol 50mg Injection Pkt/50</t>
  </si>
  <si>
    <t>Phenytoin Injection</t>
  </si>
  <si>
    <t xml:space="preserve">Phenytoin Sodium Injection 100mg/2ml </t>
  </si>
  <si>
    <t>Maccol Injection</t>
  </si>
  <si>
    <t>Injection 10mg/2ml</t>
  </si>
  <si>
    <t>Naloxone HCL injection</t>
  </si>
  <si>
    <t>Nalaxone 1ml/0.4mg</t>
  </si>
  <si>
    <t>Lasix Amp</t>
  </si>
  <si>
    <t>Xylozan 2% lidocaine Hydrochloride</t>
  </si>
  <si>
    <t>Vials 50ml</t>
  </si>
  <si>
    <t>Aloperidin</t>
  </si>
  <si>
    <t>Ampoules 5mg/ml</t>
  </si>
  <si>
    <t>Atropine Sulphate</t>
  </si>
  <si>
    <t>Ampoules 1mg/1ml</t>
  </si>
  <si>
    <t>10 Capsules</t>
  </si>
  <si>
    <t>2 Pkt</t>
  </si>
  <si>
    <t>3 Pkt</t>
  </si>
  <si>
    <t>1 Pkt</t>
  </si>
  <si>
    <t>COUNTRY</t>
  </si>
  <si>
    <t>PORT</t>
  </si>
  <si>
    <t>PABLB</t>
  </si>
  <si>
    <t>MXLAP</t>
  </si>
  <si>
    <t>PACTB</t>
  </si>
  <si>
    <t>USSAV</t>
  </si>
  <si>
    <t>USGLS</t>
  </si>
  <si>
    <t>MXATM</t>
  </si>
  <si>
    <t>DEWVN</t>
  </si>
  <si>
    <t>BSFPO</t>
  </si>
  <si>
    <t>USPLQ</t>
  </si>
  <si>
    <t>GBMLF</t>
  </si>
  <si>
    <t>DYRTL</t>
  </si>
  <si>
    <t>USNSS</t>
  </si>
  <si>
    <t>TRALI</t>
  </si>
  <si>
    <t>USLCH</t>
  </si>
  <si>
    <t>DOBBC</t>
  </si>
  <si>
    <t>CNTXG</t>
  </si>
  <si>
    <t>JMPEV</t>
  </si>
  <si>
    <t>CLPUQ</t>
  </si>
  <si>
    <t>VISTX</t>
  </si>
  <si>
    <t>JMKIN</t>
  </si>
  <si>
    <t>NGBON</t>
  </si>
  <si>
    <t>KRYOS</t>
  </si>
  <si>
    <t>KRMOK</t>
  </si>
  <si>
    <t>Discharging, Crew changes, Receiving Stores and Provisions</t>
  </si>
  <si>
    <t>Crew changes</t>
  </si>
  <si>
    <t>Loading, Crew changes, Receiving Stores and Provisions</t>
  </si>
  <si>
    <t>Bunkering, Crew changes, Receiving Stores and Provisions</t>
  </si>
  <si>
    <t>Cargo Discharging Operation, Crew changes.</t>
  </si>
  <si>
    <t>Cargo  Loading Operation, Crew changes, Receiving Provisions</t>
  </si>
  <si>
    <t>Cargo  discharging Operation &amp; Crew changes.</t>
  </si>
  <si>
    <t>Cargo  Discharging  Operation, Crew changes, Receiving Spares</t>
  </si>
  <si>
    <t>Crew changes, Receiving Stores</t>
  </si>
  <si>
    <t>Cargo  Discharging Operation, Crew changes, Receiving Provisions</t>
  </si>
  <si>
    <t>Crew changes, Receiving Stores and Provisions</t>
  </si>
  <si>
    <t xml:space="preserve">Cargo Loading Operation, Crew changes, Receiving Stores and Provisions, Audits </t>
  </si>
  <si>
    <t>Crew Change,STS Cargo  Discharging Operation with FSRU Hoegh Gallant</t>
  </si>
  <si>
    <t>Panama Canal Transit Crew Change and Receiving spares and stores</t>
  </si>
  <si>
    <t>STS Cargo Discharging Operation with LNG/C Energos Grand, Crew changes, Receiving spares and stores, Inspections</t>
  </si>
  <si>
    <t>Crew Change and Receiving spares</t>
  </si>
  <si>
    <t>STS Cargo Discharging Operation with LNG/C Galsog Singapore, Crew changes</t>
  </si>
  <si>
    <t>STS Cargo Discharging Operation with FSRU Hoegh Gallant</t>
  </si>
  <si>
    <t>Waiting for berthing Instructions, receiving stores/provisions and crew changes</t>
  </si>
  <si>
    <t>Cargo Operation, Bunkering Operation, Receiving stores</t>
  </si>
  <si>
    <t>Bunkering Operation</t>
  </si>
  <si>
    <t>Receiving stores</t>
  </si>
  <si>
    <t xml:space="preserve">Vessel's delivery </t>
  </si>
  <si>
    <t>BALBOA</t>
  </si>
  <si>
    <t>PANAMA</t>
  </si>
  <si>
    <t>LA PAZ</t>
  </si>
  <si>
    <t>MEXICO</t>
  </si>
  <si>
    <t>CRISTOBAL</t>
  </si>
  <si>
    <t>SAVANNAH</t>
  </si>
  <si>
    <t>GOLA</t>
  </si>
  <si>
    <t xml:space="preserve">ALTAMIRA </t>
  </si>
  <si>
    <t xml:space="preserve">WILHELMSHAVEN </t>
  </si>
  <si>
    <t>GERMANY</t>
  </si>
  <si>
    <t xml:space="preserve">FREEPORT  </t>
  </si>
  <si>
    <t>BAHAMAS</t>
  </si>
  <si>
    <t>PLAQUEMINES</t>
  </si>
  <si>
    <t>MILFORD HAVEN SOUTH HOOK</t>
  </si>
  <si>
    <t>DORTYOL FSRU</t>
  </si>
  <si>
    <t>TURKEY</t>
  </si>
  <si>
    <t>SABINE PASS</t>
  </si>
  <si>
    <t>EGEGAZ ALIAGA</t>
  </si>
  <si>
    <t>LAKE CHARLES</t>
  </si>
  <si>
    <t>BOCA CHICA AES ANDRES</t>
  </si>
  <si>
    <t>DOMINICAN REUBLIC</t>
  </si>
  <si>
    <t>MILFORD HAVEN, SOUTH HOOK</t>
  </si>
  <si>
    <t>SINGAPORE ANCHORAGE</t>
  </si>
  <si>
    <t>SINGAPORE</t>
  </si>
  <si>
    <t>TIANJIN</t>
  </si>
  <si>
    <t>CHINA</t>
  </si>
  <si>
    <t>OPL CAPE TOWN</t>
  </si>
  <si>
    <t>SOUTH AFRICA</t>
  </si>
  <si>
    <t xml:space="preserve">PORT ESQUIVEL </t>
  </si>
  <si>
    <t>JAMAICA</t>
  </si>
  <si>
    <t xml:space="preserve">BALBOA </t>
  </si>
  <si>
    <t>PUNTA ARENAS</t>
  </si>
  <si>
    <t>CHILE</t>
  </si>
  <si>
    <t>LIMETREE BAY, ST. CROIX</t>
  </si>
  <si>
    <t xml:space="preserve">U.S. VIRGIN ISLANDS </t>
  </si>
  <si>
    <t>KINGSTON OPL</t>
  </si>
  <si>
    <t>BONNY</t>
  </si>
  <si>
    <t>NIGERIA</t>
  </si>
  <si>
    <t>BUSAN</t>
  </si>
  <si>
    <t>SOUTH KOREA</t>
  </si>
  <si>
    <t>MOKPO</t>
  </si>
  <si>
    <t>Ship Security Level</t>
  </si>
  <si>
    <t>Port Facility Security Level</t>
  </si>
  <si>
    <t>Any special or additional security measures taken</t>
  </si>
  <si>
    <t>No extra measures</t>
  </si>
  <si>
    <t>Implemented measures equivalent to level 2</t>
  </si>
  <si>
    <t>Cigarettes Winston Blue</t>
  </si>
  <si>
    <t>Cigarettes Camel Blue</t>
  </si>
  <si>
    <t>Shaving Foam</t>
  </si>
  <si>
    <t>Tooth Paste</t>
  </si>
  <si>
    <t>Tooth Brush</t>
  </si>
  <si>
    <t>Razor</t>
  </si>
  <si>
    <t>Shower Gel</t>
  </si>
  <si>
    <t>Fuel Oil (VLSFO)</t>
  </si>
  <si>
    <t>Diesel Oil (LSMGO)</t>
  </si>
  <si>
    <t>BUNKERS</t>
  </si>
  <si>
    <t>Beef</t>
  </si>
  <si>
    <t xml:space="preserve"> kg</t>
  </si>
  <si>
    <t>Poultry</t>
  </si>
  <si>
    <t>Pork</t>
  </si>
  <si>
    <t>cases</t>
  </si>
  <si>
    <t>Fish</t>
  </si>
  <si>
    <t>Sausages</t>
  </si>
  <si>
    <t>Flour</t>
  </si>
  <si>
    <t>Milk</t>
  </si>
  <si>
    <t>Cooking Oil</t>
  </si>
  <si>
    <t>Olive Oil</t>
  </si>
  <si>
    <t>Honey</t>
  </si>
  <si>
    <t>Vegetables</t>
  </si>
  <si>
    <t>Frozen veg</t>
  </si>
  <si>
    <t>Fruits</t>
  </si>
  <si>
    <t>Canned Fruit</t>
  </si>
  <si>
    <t>Tea Bags</t>
  </si>
  <si>
    <t>Tomato Ketchup</t>
  </si>
  <si>
    <t>Tomatoes Peeled</t>
  </si>
  <si>
    <t>Chilli Sauce</t>
  </si>
  <si>
    <t>Assorted Jams</t>
  </si>
  <si>
    <t>Assorted Juice</t>
  </si>
  <si>
    <t>Pickle</t>
  </si>
  <si>
    <t>Corn Flakes</t>
  </si>
  <si>
    <t>Olives</t>
  </si>
  <si>
    <t>Cheese</t>
  </si>
  <si>
    <t>Soft Drinks</t>
  </si>
  <si>
    <t xml:space="preserve">  1.4 Voyage Number</t>
  </si>
  <si>
    <t xml:space="preserve">  6. Number of person on board</t>
  </si>
  <si>
    <t>L.S.F.O STORAGE &amp; SERVICE TANKS</t>
  </si>
  <si>
    <t>L.S.M.G.O STORAGE &amp; SERVICE TANKS</t>
  </si>
  <si>
    <t>L.O STORAGE TANKS</t>
  </si>
  <si>
    <t>F.W TANKS</t>
  </si>
  <si>
    <t>PAINT STORE</t>
  </si>
  <si>
    <t xml:space="preserve">PROVISIONS DRY STORE ROOM </t>
  </si>
  <si>
    <t>YELLOW FEVER</t>
  </si>
  <si>
    <t>UNLIMITED</t>
  </si>
  <si>
    <t>15. Issuing State of identity document</t>
  </si>
  <si>
    <t xml:space="preserve">16. Expiry date of identity document      </t>
  </si>
  <si>
    <t>2 Mobile phones, 1 USB, 1 Earphones</t>
  </si>
  <si>
    <t>2 Mobile phones, 1 Speaker, 1 Watch, 1 Hairclipper, 1 Airpods</t>
  </si>
  <si>
    <t>2 Mobile phones,1 Tablet, 1 Watch, 1 Hairclipper, 1 Earpods, 1 HDD, 1 Ring, 1 Wrist watch</t>
  </si>
  <si>
    <t>Transit, Crew Changes</t>
  </si>
  <si>
    <t>Crew changes, Stores, Provisions</t>
  </si>
  <si>
    <t>Transit, Crew Changes, Garbage delivery</t>
  </si>
  <si>
    <t xml:space="preserve">SABINE PASS </t>
  </si>
  <si>
    <r>
      <t xml:space="preserve">Transit, </t>
    </r>
    <r>
      <rPr>
        <sz val="11"/>
        <color theme="1"/>
        <rFont val="Arial Greek"/>
      </rPr>
      <t>Crew Changes, Receiving Provisions</t>
    </r>
  </si>
  <si>
    <t>5 Pkt</t>
  </si>
  <si>
    <t>3x May-26 / 2x May-27</t>
  </si>
  <si>
    <t>Vitamin K1</t>
  </si>
  <si>
    <t>Injection 10mg/ml</t>
  </si>
  <si>
    <t>ampoules 5x 20mg/2ml</t>
  </si>
  <si>
    <t>SOLIDON Chlorpromazine hydrochloride</t>
  </si>
  <si>
    <t>tablets 100mg</t>
  </si>
  <si>
    <t>tablets 25mg</t>
  </si>
  <si>
    <t>5 pkt</t>
  </si>
  <si>
    <t>CALM LIFE tablets</t>
  </si>
  <si>
    <t>1 pkt</t>
  </si>
  <si>
    <t>100 tablets</t>
  </si>
  <si>
    <t>FORINPIA tablets</t>
  </si>
  <si>
    <t>U.K.</t>
  </si>
  <si>
    <t>Dollars</t>
  </si>
  <si>
    <t>Other</t>
  </si>
  <si>
    <t>Cash</t>
  </si>
  <si>
    <t>VACCINATION LIST</t>
  </si>
  <si>
    <t>SEAMAN'S BOOK</t>
  </si>
  <si>
    <t>Expiry date</t>
  </si>
  <si>
    <t xml:space="preserve">Marshall Seaman`s Book </t>
  </si>
  <si>
    <t>MH 972208</t>
  </si>
  <si>
    <t>MH 1123766</t>
  </si>
  <si>
    <t>MH 1065960</t>
  </si>
  <si>
    <t>4</t>
  </si>
  <si>
    <t>Coffee</t>
  </si>
  <si>
    <t xml:space="preserve">3RD OFF </t>
  </si>
  <si>
    <t xml:space="preserve">RUFON </t>
  </si>
  <si>
    <t>NOEL III</t>
  </si>
  <si>
    <t>QUEZON CITY</t>
  </si>
  <si>
    <t>P3324286B</t>
  </si>
  <si>
    <t>DFA NCR NORTHEAST</t>
  </si>
  <si>
    <t>APID</t>
  </si>
  <si>
    <t>LORD BYRON</t>
  </si>
  <si>
    <t>ARGONSOLA</t>
  </si>
  <si>
    <t>P6351015A</t>
  </si>
  <si>
    <t>ESTRABELA</t>
  </si>
  <si>
    <t>ARIES</t>
  </si>
  <si>
    <t>ESPINAR</t>
  </si>
  <si>
    <t>E</t>
  </si>
  <si>
    <t>BARCELONA SSG</t>
  </si>
  <si>
    <t>P6676452B</t>
  </si>
  <si>
    <t>SUPIL</t>
  </si>
  <si>
    <t>MUKRAN,GERMANY</t>
  </si>
  <si>
    <t>A0353766</t>
  </si>
  <si>
    <t>DIONISIO ILOILO</t>
  </si>
  <si>
    <t>C1227075</t>
  </si>
  <si>
    <t>C1017743</t>
  </si>
  <si>
    <t>MH 994967</t>
  </si>
  <si>
    <t>MH 995403</t>
  </si>
  <si>
    <t>MH 972207</t>
  </si>
  <si>
    <t>USA</t>
  </si>
  <si>
    <t>MUKRAN</t>
  </si>
  <si>
    <t>1</t>
  </si>
  <si>
    <t>Disharging,Crew Changes,Receiving Provisions, Sire Inspection</t>
  </si>
  <si>
    <t>DEMUK</t>
  </si>
  <si>
    <t>20252068330068</t>
  </si>
  <si>
    <t>V8071612</t>
  </si>
  <si>
    <t>SABINE PASS, USA</t>
  </si>
  <si>
    <t>SYTNYK</t>
  </si>
  <si>
    <t xml:space="preserve">YEVGENIY </t>
  </si>
  <si>
    <t xml:space="preserve">UKRAINIAN </t>
  </si>
  <si>
    <t>ODESSA</t>
  </si>
  <si>
    <t>GD461450</t>
  </si>
  <si>
    <t>5116</t>
  </si>
  <si>
    <t>20202200040007</t>
  </si>
  <si>
    <t>P7109132</t>
  </si>
  <si>
    <t>AB 676379</t>
  </si>
  <si>
    <t>DOMONDON</t>
  </si>
  <si>
    <t>DEXTER</t>
  </si>
  <si>
    <t>SANTOS</t>
  </si>
  <si>
    <t>MARIKINA CITY</t>
  </si>
  <si>
    <t>P6400609A</t>
  </si>
  <si>
    <t>DFA NCR WEST</t>
  </si>
  <si>
    <t>20252259030269</t>
  </si>
  <si>
    <t>V8070643</t>
  </si>
  <si>
    <t>C1518575</t>
  </si>
  <si>
    <t>FER ANN</t>
  </si>
  <si>
    <t>CADIZ</t>
  </si>
  <si>
    <t>ILOILO CITY</t>
  </si>
  <si>
    <t>P7519115A</t>
  </si>
  <si>
    <t>DFA ILOILO</t>
  </si>
  <si>
    <t>20252756310225</t>
  </si>
  <si>
    <t>V8123508</t>
  </si>
  <si>
    <t>A0106824</t>
  </si>
  <si>
    <t>Loading, Crew Changes, Receiving Provisions</t>
  </si>
  <si>
    <t xml:space="preserve">3 </t>
  </si>
  <si>
    <t>MH 879873</t>
  </si>
  <si>
    <t xml:space="preserve">N   </t>
  </si>
  <si>
    <t>1 Mobile phone, 1 Laptop, 2 HDD</t>
  </si>
  <si>
    <t xml:space="preserve">2 Mobile phones, 1 Laptop, 2 Watches, 2 HDD, 1 Gold Ring,   </t>
  </si>
  <si>
    <t>2 Mobile phone, 1 HDD 1 Watch, Earrings</t>
  </si>
  <si>
    <t>2 Mobile Phones, 1 Laptop, 3 HDD</t>
  </si>
  <si>
    <t>2 Mobile phones, 1 Watch, 1 HDD, 3 USB, 1 Hairclipper</t>
  </si>
  <si>
    <t>DAMIETTA</t>
  </si>
  <si>
    <t>EGYPT</t>
  </si>
  <si>
    <t>Crew Changes</t>
  </si>
  <si>
    <t>2 Mobile Phones, 1 Laptop, 1 BT speaker, 1HDD, 3 USB</t>
  </si>
  <si>
    <t>2 Mobile Phones, 1 Laptop,  BT Mouse, 1 Gold ring, 2 usb, 1 HDD</t>
  </si>
  <si>
    <t>2 Mobile Phones, 2 Watches</t>
  </si>
  <si>
    <t>2 Mobile phones, 1 Laptop, 1 HDD, 1 SSD, 3 USB, 2 Wrist watch, 1 Hairclipper, 1 Powerbank, 3 Flashlights</t>
  </si>
  <si>
    <t xml:space="preserve"> 1x Mar-26
1x Oct-26 / 3x Mar-27</t>
  </si>
  <si>
    <t>Mukran, Germany</t>
  </si>
  <si>
    <t>WIPER</t>
  </si>
  <si>
    <t>FLORES</t>
  </si>
  <si>
    <t>NORIEL</t>
  </si>
  <si>
    <t>AMORADO</t>
  </si>
  <si>
    <t>P GALERA OR MDO</t>
  </si>
  <si>
    <t>DAMIETTA,EGYPT</t>
  </si>
  <si>
    <t>P1950890C</t>
  </si>
  <si>
    <t>DFA NCR SOUTH</t>
  </si>
  <si>
    <t>A0277972</t>
  </si>
  <si>
    <t xml:space="preserve">WENDT </t>
  </si>
  <si>
    <t>ROBERT KRZYSZTOF</t>
  </si>
  <si>
    <t>GDANSK</t>
  </si>
  <si>
    <t>POLISH</t>
  </si>
  <si>
    <t>POLAND</t>
  </si>
  <si>
    <t>POL</t>
  </si>
  <si>
    <t>EK 0855330</t>
  </si>
  <si>
    <t>WOJEWODA, POMORSKI</t>
  </si>
  <si>
    <t>AA0009998</t>
  </si>
  <si>
    <t>CHRISTOS</t>
  </si>
  <si>
    <t>SPAIN</t>
  </si>
  <si>
    <t>ALGECIRAS</t>
  </si>
  <si>
    <t>Disharging,Crew Changes</t>
  </si>
  <si>
    <t>EGDAM</t>
  </si>
  <si>
    <t xml:space="preserve">PETROPOULOS </t>
  </si>
  <si>
    <t>KOZANI</t>
  </si>
  <si>
    <t>BA2822002</t>
  </si>
  <si>
    <t>CY278178</t>
  </si>
  <si>
    <t>KALOI LIMENES,GREECE</t>
  </si>
  <si>
    <t>20180037080001</t>
  </si>
  <si>
    <t>N0290642</t>
  </si>
  <si>
    <t>MH 970901</t>
  </si>
  <si>
    <t>2 Mobile phones, 1 Laptop, 1 Watch, 1 Gold ring, 1 Necklace</t>
  </si>
  <si>
    <t>2 Mobile phones, 1 Watch</t>
  </si>
  <si>
    <t>20250179440001</t>
  </si>
  <si>
    <t>v2048085</t>
  </si>
  <si>
    <t>MH 859292</t>
  </si>
  <si>
    <t>20233324880021</t>
  </si>
  <si>
    <t>T5060249</t>
  </si>
  <si>
    <t>MH 1020115</t>
  </si>
  <si>
    <t>1 Laptop, 1 Mobile phone</t>
  </si>
  <si>
    <t>ESALG</t>
  </si>
  <si>
    <t>MH 1159248</t>
  </si>
  <si>
    <t>Vinegar</t>
  </si>
  <si>
    <t>Cigarettes Marlboro</t>
  </si>
  <si>
    <t>5</t>
  </si>
  <si>
    <t>BUTS</t>
  </si>
  <si>
    <t>KOSTIANTYN</t>
  </si>
  <si>
    <t>FREEPORT, BAHAMAS</t>
  </si>
  <si>
    <t>GL504758</t>
  </si>
  <si>
    <t>2110</t>
  </si>
  <si>
    <t>KACHUR</t>
  </si>
  <si>
    <t>MYKOLA</t>
  </si>
  <si>
    <t>FS151214</t>
  </si>
  <si>
    <t>6512</t>
  </si>
  <si>
    <t>AA 1002553</t>
  </si>
  <si>
    <t xml:space="preserve"> Original</t>
  </si>
  <si>
    <t>YEMELIANOV</t>
  </si>
  <si>
    <t>RICHARD</t>
  </si>
  <si>
    <t>FJ899634</t>
  </si>
  <si>
    <t>5101</t>
  </si>
  <si>
    <t>AB623826</t>
  </si>
  <si>
    <t>BRILLANTES</t>
  </si>
  <si>
    <t>MH 904486</t>
  </si>
  <si>
    <t>20202627470005</t>
  </si>
  <si>
    <t>R7110556</t>
  </si>
  <si>
    <t>20173258560001</t>
  </si>
  <si>
    <t>M7306443</t>
  </si>
  <si>
    <t>MH 925122</t>
  </si>
  <si>
    <t>3 Mobile phones, 1 Laptop, 3HDD, 3 USB,1 Headphones</t>
  </si>
  <si>
    <t>2 Mobile phones,1 Laptop, 1 shaver, 1 HDD, 1 SSD, I USB, 1 erigator</t>
  </si>
  <si>
    <t>1 Mobile phone, 1 Laptop, 1 HDD, 1 Hairclipper</t>
  </si>
  <si>
    <t>MH 77412</t>
  </si>
  <si>
    <t>20180023650001</t>
  </si>
  <si>
    <t>N0085660</t>
  </si>
  <si>
    <t>KOUIMOV</t>
  </si>
  <si>
    <t>ENTOUARNT OR EDUARD</t>
  </si>
  <si>
    <t>NAKHODKA</t>
  </si>
  <si>
    <t>RUSSIA</t>
  </si>
  <si>
    <t>GALVESTON, USA</t>
  </si>
  <si>
    <t>AY4667152</t>
  </si>
  <si>
    <t>20190711170001</t>
  </si>
  <si>
    <t>N9856302</t>
  </si>
  <si>
    <t xml:space="preserve">AA 60496 </t>
  </si>
  <si>
    <t>CHATZIDIMITRIOU</t>
  </si>
  <si>
    <t>MARIA</t>
  </si>
  <si>
    <t>THESSALONIKI</t>
  </si>
  <si>
    <t>AT5546138</t>
  </si>
  <si>
    <t>20253082630001</t>
  </si>
  <si>
    <t>W2601140</t>
  </si>
  <si>
    <t xml:space="preserve">ST 39373 </t>
  </si>
  <si>
    <t>GIDEI</t>
  </si>
  <si>
    <t>NICOLAE</t>
  </si>
  <si>
    <t>GALATI</t>
  </si>
  <si>
    <t>056799980</t>
  </si>
  <si>
    <t>20253431690001</t>
  </si>
  <si>
    <t>W3578177</t>
  </si>
  <si>
    <t>4695GL</t>
  </si>
  <si>
    <t xml:space="preserve">LOFTSALIS </t>
  </si>
  <si>
    <t>APOSTOLOS</t>
  </si>
  <si>
    <t>BB0444273</t>
  </si>
  <si>
    <t>20250566280001</t>
  </si>
  <si>
    <t>V2048763</t>
  </si>
  <si>
    <t>ST39185</t>
  </si>
  <si>
    <t>CANADA</t>
  </si>
  <si>
    <t>2 Mobile phones, 1 Laptop</t>
  </si>
  <si>
    <t>2 Mobile phones, 1 Watch,1 Laptop</t>
  </si>
  <si>
    <t>MH 981628</t>
  </si>
  <si>
    <t>MH 1101404</t>
  </si>
  <si>
    <t>MH 916167</t>
  </si>
  <si>
    <t>MH 1024999</t>
  </si>
  <si>
    <t>MH 11469449</t>
  </si>
  <si>
    <t xml:space="preserve"> 02-May-89</t>
  </si>
  <si>
    <t>0</t>
  </si>
  <si>
    <t>CAPT. WENDT ROBERT</t>
  </si>
  <si>
    <t>2</t>
  </si>
  <si>
    <t>7</t>
  </si>
  <si>
    <t>8</t>
  </si>
  <si>
    <t>10</t>
  </si>
  <si>
    <t>LOADING</t>
  </si>
  <si>
    <t>BARCARENA</t>
  </si>
  <si>
    <t>BRAZIL</t>
  </si>
  <si>
    <t>VOY15</t>
  </si>
  <si>
    <t>SAINT JOHN</t>
  </si>
  <si>
    <t xml:space="preserve">Discharging </t>
  </si>
  <si>
    <t>CASJB</t>
  </si>
  <si>
    <t>VASILEIOS</t>
  </si>
  <si>
    <t xml:space="preserve">STAMATIOU </t>
  </si>
  <si>
    <t>ALTAMIRA, MEXICO</t>
  </si>
  <si>
    <t>COLEASA</t>
  </si>
  <si>
    <t>STEFAN  CIPRIAN</t>
  </si>
  <si>
    <t>MAROUSI</t>
  </si>
  <si>
    <t>AY1388281</t>
  </si>
  <si>
    <t>MH 956958</t>
  </si>
  <si>
    <t>AA 61439</t>
  </si>
  <si>
    <t>063513795</t>
  </si>
  <si>
    <t>CONSTANTA</t>
  </si>
  <si>
    <t>Capt. Wendt Robert</t>
  </si>
  <si>
    <t>DISCHARGING</t>
  </si>
  <si>
    <t>11</t>
  </si>
  <si>
    <t>THANASIS</t>
  </si>
  <si>
    <t>EVANGELOS</t>
  </si>
  <si>
    <t>KERKYRA</t>
  </si>
  <si>
    <t>BARCARENA, BRAZIL</t>
  </si>
  <si>
    <t>TEJU</t>
  </si>
  <si>
    <t>TOMA</t>
  </si>
  <si>
    <t>TR CHIEF OFF</t>
  </si>
  <si>
    <t>COSTANTA</t>
  </si>
  <si>
    <t>LADINES</t>
  </si>
  <si>
    <t>RODOLFO JR.</t>
  </si>
  <si>
    <t>SAMPALOC QUEZON</t>
  </si>
  <si>
    <t xml:space="preserve">PALERACIO </t>
  </si>
  <si>
    <t>JOHN CALLED</t>
  </si>
  <si>
    <t>ALBERTO JR.</t>
  </si>
  <si>
    <t xml:space="preserve">LUPAZ </t>
  </si>
  <si>
    <t>NASIPIT AND</t>
  </si>
  <si>
    <t>ALLADO</t>
  </si>
  <si>
    <t>KEITH VINCENT</t>
  </si>
  <si>
    <t>CASTILLO</t>
  </si>
  <si>
    <t>TIMBERT</t>
  </si>
  <si>
    <t>BUENAVISTA MDQ</t>
  </si>
  <si>
    <t>BA8948788</t>
  </si>
  <si>
    <t xml:space="preserve">DFA LUCENA </t>
  </si>
  <si>
    <t>P6096925B</t>
  </si>
  <si>
    <t>P4666149B</t>
  </si>
  <si>
    <t>P9127792B</t>
  </si>
  <si>
    <t>P5223721B</t>
  </si>
  <si>
    <t>P5914768B</t>
  </si>
  <si>
    <t>059130390</t>
  </si>
  <si>
    <t>VOY16</t>
  </si>
  <si>
    <t>1 Mobile phones, 1 Watch</t>
  </si>
  <si>
    <t>BRBCA</t>
  </si>
  <si>
    <t>Barcarena, Brazil 03.03.2026</t>
  </si>
  <si>
    <t>31553CT</t>
  </si>
  <si>
    <t>C1195674</t>
  </si>
  <si>
    <t>A0495660</t>
  </si>
  <si>
    <t>A0120246</t>
  </si>
  <si>
    <t>A0449605</t>
  </si>
  <si>
    <t>E00363</t>
  </si>
  <si>
    <t>A0482204</t>
  </si>
  <si>
    <t>1 Mobile, 1 watch, 1 Laptop</t>
  </si>
  <si>
    <t>1 Laptop, 1 Mobile phone, 1 Tablet, 1 watch, 1 E-book, Electric toothbrush, HDD</t>
  </si>
  <si>
    <t>2 Mobile phones, 1 Gold ring, 1 watch, BT speaker</t>
  </si>
  <si>
    <t>2 Mobile Phones,,1 Gold necklace, 1 Laptop, Speaker</t>
  </si>
  <si>
    <t>1 Laptop, 1 Phone, 1 Watch</t>
  </si>
  <si>
    <t xml:space="preserve">2 Mobile Phones, 1 Laptop, 2 HDD, 1 Earbuds, 1 Gold ring, 1 Gold necklace, 1 wrist watch, 2 flashlights, 1 humidifier, 1 fishing rod, 1 shaver, </t>
  </si>
  <si>
    <t>1 Mobile phone, 1 watch</t>
  </si>
  <si>
    <t xml:space="preserve">1 Mobiles Phone </t>
  </si>
  <si>
    <t>Sabine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</si>
</sst>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&quot;Name of ship    M/V  &quot;@"/>
    <numFmt numFmtId="168" formatCode="#,##0.00\ &quot;DM&quot;;[Red]\-#,##0.00\ &quot;DM&quot;"/>
    <numFmt numFmtId="169" formatCode="[$-3409]dd\-mmm\-yy;@"/>
    <numFmt numFmtId="170" formatCode="_-* #,##0.00\ &quot;DM&quot;_-;\-* #,##0.00\ &quot;DM&quot;_-;_-* &quot;-&quot;??\ &quot;DM&quot;_-;_-@_-"/>
    <numFmt numFmtId="171" formatCode="[$-409]dd\-mmm\-yy;@"/>
    <numFmt numFmtId="172" formatCode="d\-mmm\-yyyy"/>
    <numFmt numFmtId="173" formatCode="#."/>
    <numFmt numFmtId="174" formatCode="&quot;$&quot;#,##0.00"/>
    <numFmt numFmtId="175" formatCode="0.0\ \°\C"/>
    <numFmt numFmtId="176" formatCode="_-&quot;$&quot;* #,##0_-;\-&quot;$&quot;* #,##0_-;_-&quot;$&quot;* &quot;-&quot;_-;_-@_-"/>
    <numFmt numFmtId="177" formatCode="[$-409]dd/mmm/yy;@"/>
    <numFmt numFmtId="178" formatCode="0.0"/>
    <numFmt numFmtId="179" formatCode="dd\/mm\/yyyy"/>
    <numFmt numFmtId="180" formatCode="dd/mmm/yyyy"/>
    <numFmt numFmtId="181" formatCode="[$-409]d\-mmm\-yy;@"/>
    <numFmt numFmtId="182" formatCode="[$-409]d\-mmm\-yyyy;@"/>
    <numFmt numFmtId="183" formatCode="dd/mm/yyyy;@"/>
    <numFmt numFmtId="184" formatCode="@\ &quot;and personal effects&quot;"/>
    <numFmt numFmtId="185" formatCode="[$-F800]dddd\,\ mmmm\ dd\,\ yyyy"/>
    <numFmt numFmtId="186" formatCode="[$-C09]dd\-mmm\-yy;@"/>
    <numFmt numFmtId="187" formatCode="d/mm/yyyy;@"/>
    <numFmt numFmtId="188" formatCode="[$-C09]dd\-mmmm\-yyyy;@"/>
    <numFmt numFmtId="189" formatCode="[$-409]d/mmm/yyyy;@"/>
    <numFmt numFmtId="190" formatCode="[$-409]d/mmm/yy;@"/>
  </numFmts>
  <fonts count="19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sz val="12"/>
      <name val="Bookman Old Style"/>
      <family val="1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u/>
      <sz val="10"/>
      <color indexed="8"/>
      <name val="Arial"/>
      <family val="2"/>
    </font>
    <font>
      <sz val="10"/>
      <name val="Gill Sans Light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8"/>
      <color indexed="12"/>
      <name val="Arial"/>
      <family val="2"/>
    </font>
    <font>
      <sz val="10"/>
      <color indexed="48"/>
      <name val="Arial"/>
      <family val="2"/>
    </font>
    <font>
      <sz val="8"/>
      <color indexed="48"/>
      <name val="Arial"/>
      <family val="2"/>
    </font>
    <font>
      <sz val="8"/>
      <name val="Gill Sans Light"/>
      <family val="2"/>
    </font>
    <font>
      <sz val="12"/>
      <name val="Gill Sans Light"/>
    </font>
    <font>
      <sz val="10"/>
      <color indexed="48"/>
      <name val="Gill Sans Light"/>
      <family val="2"/>
    </font>
    <font>
      <sz val="8"/>
      <color indexed="9"/>
      <name val="Arial"/>
      <family val="2"/>
    </font>
    <font>
      <u/>
      <sz val="8"/>
      <name val="Arial"/>
      <family val="2"/>
    </font>
    <font>
      <b/>
      <u/>
      <sz val="10"/>
      <name val="Arial"/>
      <family val="2"/>
    </font>
    <font>
      <sz val="10"/>
      <color indexed="12"/>
      <name val="Gill Sans Light"/>
      <family val="2"/>
    </font>
    <font>
      <sz val="5"/>
      <color indexed="12"/>
      <name val="Arial"/>
      <family val="2"/>
    </font>
    <font>
      <sz val="10"/>
      <color indexed="9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sz val="10"/>
      <name val="Courier"/>
      <family val="3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u/>
      <sz val="12"/>
      <name val="Arial"/>
      <family val="2"/>
    </font>
    <font>
      <u/>
      <sz val="12"/>
      <color indexed="8"/>
      <name val="Arial"/>
      <family val="2"/>
    </font>
    <font>
      <b/>
      <sz val="10"/>
      <name val="Gill Sans Light"/>
    </font>
    <font>
      <sz val="10"/>
      <name val="Arial MT"/>
      <charset val="204"/>
    </font>
    <font>
      <b/>
      <sz val="8"/>
      <color indexed="10"/>
      <name val="Arial"/>
      <family val="2"/>
    </font>
    <font>
      <sz val="11"/>
      <color indexed="8"/>
      <name val="Arial"/>
      <family val="2"/>
    </font>
    <font>
      <strike/>
      <sz val="10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1"/>
      <name val="Gill Sans Light"/>
    </font>
    <font>
      <b/>
      <sz val="14"/>
      <color indexed="8"/>
      <name val="Arial"/>
      <family val="2"/>
    </font>
    <font>
      <b/>
      <sz val="14"/>
      <name val="Times New Roman"/>
      <family val="1"/>
    </font>
    <font>
      <sz val="12"/>
      <name val="Gill Sans Light"/>
      <family val="2"/>
    </font>
    <font>
      <b/>
      <sz val="11"/>
      <color indexed="8"/>
      <name val="Arial"/>
      <family val="2"/>
    </font>
    <font>
      <sz val="7.5"/>
      <name val="Arial"/>
      <family val="2"/>
    </font>
    <font>
      <b/>
      <sz val="16"/>
      <color indexed="10"/>
      <name val="Arial"/>
      <family val="2"/>
    </font>
    <font>
      <sz val="10"/>
      <color indexed="11"/>
      <name val="Arial"/>
      <family val="2"/>
    </font>
    <font>
      <sz val="8"/>
      <color indexed="11"/>
      <name val="Arial"/>
      <family val="2"/>
    </font>
    <font>
      <b/>
      <sz val="14"/>
      <color indexed="9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7.5"/>
      <color indexed="36"/>
      <name val="Times New Roman"/>
      <family val="1"/>
    </font>
    <font>
      <u/>
      <sz val="7.5"/>
      <color indexed="12"/>
      <name val="Times New Roman"/>
      <family val="1"/>
    </font>
    <font>
      <sz val="48"/>
      <name val="Gill Sans Light"/>
      <family val="2"/>
    </font>
    <font>
      <b/>
      <sz val="14"/>
      <color indexed="15"/>
      <name val="Calibri"/>
      <family val="2"/>
    </font>
    <font>
      <sz val="10"/>
      <color indexed="15"/>
      <name val="Arial"/>
      <family val="2"/>
    </font>
    <font>
      <b/>
      <sz val="22"/>
      <color indexed="48"/>
      <name val="Arial"/>
      <family val="2"/>
    </font>
    <font>
      <b/>
      <sz val="16"/>
      <color indexed="48"/>
      <name val="Arial"/>
      <family val="2"/>
    </font>
    <font>
      <sz val="14"/>
      <name val="Gill Sans Light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</font>
    <font>
      <sz val="12"/>
      <color theme="0"/>
      <name val="Arial"/>
      <family val="2"/>
    </font>
    <font>
      <sz val="9"/>
      <name val="Arial"/>
      <family val="2"/>
      <charset val="161"/>
    </font>
    <font>
      <b/>
      <sz val="14"/>
      <color indexed="9"/>
      <name val="Calibri"/>
      <family val="2"/>
      <charset val="161"/>
    </font>
    <font>
      <sz val="12"/>
      <name val="Comic Sans MS"/>
      <family val="4"/>
    </font>
    <font>
      <sz val="10"/>
      <name val="Tahoma"/>
      <family val="2"/>
    </font>
    <font>
      <sz val="10"/>
      <name val="Arial"/>
      <family val="2"/>
      <charset val="161"/>
    </font>
    <font>
      <sz val="10"/>
      <name val="Times New Roman"/>
      <family val="1"/>
      <charset val="161"/>
    </font>
    <font>
      <sz val="9"/>
      <name val="Times New Roman"/>
      <family val="1"/>
    </font>
    <font>
      <strike/>
      <sz val="10"/>
      <name val="Times New Roman"/>
      <family val="1"/>
      <charset val="161"/>
    </font>
    <font>
      <b/>
      <sz val="11"/>
      <name val="Arial"/>
      <family val="2"/>
      <charset val="161"/>
    </font>
    <font>
      <sz val="11"/>
      <name val="Gill Sans Light"/>
      <family val="2"/>
    </font>
    <font>
      <b/>
      <sz val="11"/>
      <name val="Times New Roman"/>
      <family val="1"/>
      <charset val="161"/>
    </font>
    <font>
      <b/>
      <sz val="10"/>
      <name val="Arial"/>
      <family val="2"/>
      <charset val="161"/>
    </font>
    <font>
      <sz val="9"/>
      <name val="Gill Sans Light"/>
      <family val="2"/>
    </font>
    <font>
      <sz val="10"/>
      <color rgb="FFFF0000"/>
      <name val="Arial"/>
      <family val="2"/>
    </font>
    <font>
      <sz val="12"/>
      <name val="Calibri"/>
      <family val="2"/>
      <charset val="161"/>
      <scheme val="minor"/>
    </font>
    <font>
      <sz val="10"/>
      <color theme="0"/>
      <name val="Gill Sans Light"/>
      <family val="2"/>
    </font>
    <font>
      <b/>
      <sz val="11"/>
      <name val="Gill Sans Light"/>
    </font>
    <font>
      <b/>
      <sz val="14"/>
      <name val="Times New Roman"/>
      <family val="1"/>
      <charset val="161"/>
    </font>
    <font>
      <b/>
      <sz val="12"/>
      <name val="Arial"/>
      <family val="2"/>
      <charset val="161"/>
    </font>
    <font>
      <b/>
      <sz val="20"/>
      <color indexed="8"/>
      <name val="Arial"/>
      <family val="2"/>
    </font>
    <font>
      <b/>
      <sz val="12"/>
      <color indexed="8"/>
      <name val="Arial"/>
      <family val="2"/>
      <charset val="161"/>
    </font>
    <font>
      <sz val="9"/>
      <color indexed="8"/>
      <name val="Arial"/>
      <family val="2"/>
      <charset val="161"/>
    </font>
    <font>
      <b/>
      <sz val="14"/>
      <name val="Arial"/>
      <family val="2"/>
      <charset val="161"/>
    </font>
    <font>
      <sz val="8"/>
      <name val="Arial"/>
      <family val="2"/>
      <charset val="161"/>
    </font>
    <font>
      <b/>
      <sz val="8"/>
      <color theme="1"/>
      <name val="Arial"/>
      <family val="2"/>
    </font>
    <font>
      <b/>
      <sz val="8"/>
      <name val="Arial"/>
      <family val="2"/>
      <charset val="161"/>
    </font>
    <font>
      <u/>
      <sz val="8"/>
      <name val="Arial"/>
      <family val="2"/>
      <charset val="161"/>
    </font>
    <font>
      <sz val="8"/>
      <color rgb="FF000000"/>
      <name val="Tahoma"/>
      <family val="2"/>
      <charset val="161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Gill Sans Light"/>
    </font>
    <font>
      <sz val="11"/>
      <name val="Arial"/>
      <family val="2"/>
      <charset val="161"/>
    </font>
    <font>
      <i/>
      <sz val="12"/>
      <name val="Gill Sans Light"/>
    </font>
    <font>
      <b/>
      <sz val="14"/>
      <color theme="0"/>
      <name val="Calibri"/>
      <family val="2"/>
    </font>
    <font>
      <b/>
      <sz val="10"/>
      <name val="Times New Roman"/>
      <family val="1"/>
    </font>
    <font>
      <sz val="10"/>
      <color rgb="FF000000"/>
      <name val="Arial"/>
      <family val="2"/>
    </font>
    <font>
      <b/>
      <sz val="11"/>
      <name val="Calibri"/>
      <family val="2"/>
      <charset val="161"/>
      <scheme val="minor"/>
    </font>
    <font>
      <b/>
      <i/>
      <sz val="11"/>
      <color indexed="8"/>
      <name val="Times New Roman"/>
      <family val="1"/>
      <charset val="161"/>
    </font>
    <font>
      <b/>
      <i/>
      <sz val="12"/>
      <color indexed="8"/>
      <name val="Times New Roman"/>
      <family val="1"/>
      <charset val="161"/>
    </font>
    <font>
      <b/>
      <sz val="11"/>
      <color indexed="8"/>
      <name val="Times New Roman"/>
      <family val="1"/>
      <charset val="161"/>
    </font>
    <font>
      <b/>
      <i/>
      <sz val="11"/>
      <name val="Times New Roman"/>
      <family val="1"/>
      <charset val="161"/>
    </font>
    <font>
      <b/>
      <sz val="12"/>
      <color indexed="8"/>
      <name val="Times New Roman"/>
      <family val="1"/>
      <charset val="161"/>
    </font>
    <font>
      <b/>
      <sz val="12"/>
      <name val="Times New Roman"/>
      <family val="1"/>
      <charset val="161"/>
    </font>
    <font>
      <b/>
      <i/>
      <sz val="12"/>
      <name val="Times New Roman"/>
      <family val="1"/>
      <charset val="161"/>
    </font>
    <font>
      <b/>
      <sz val="26"/>
      <color indexed="8"/>
      <name val="Times New Roman"/>
      <family val="1"/>
      <charset val="161"/>
    </font>
    <font>
      <i/>
      <u/>
      <sz val="12"/>
      <name val="Arial"/>
      <family val="2"/>
      <charset val="161"/>
    </font>
    <font>
      <sz val="12"/>
      <color indexed="8"/>
      <name val="Arial"/>
      <family val="2"/>
      <charset val="161"/>
    </font>
    <font>
      <sz val="10"/>
      <name val="Arial Greek"/>
      <charset val="161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3"/>
      <name val="Arial"/>
      <family val="2"/>
      <charset val="161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name val="Arial Greek"/>
    </font>
    <font>
      <b/>
      <sz val="12"/>
      <name val="Arial Greek"/>
    </font>
    <font>
      <b/>
      <u/>
      <sz val="12"/>
      <name val="Arial Greek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family val="1"/>
      <charset val="161"/>
    </font>
    <font>
      <strike/>
      <sz val="12"/>
      <color theme="1"/>
      <name val="Times New Roman"/>
      <family val="1"/>
      <charset val="161"/>
    </font>
    <font>
      <strike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  <charset val="161"/>
    </font>
    <font>
      <sz val="14"/>
      <name val="Times New Roman"/>
      <family val="1"/>
    </font>
    <font>
      <b/>
      <u/>
      <sz val="12"/>
      <name val="Times New Roman"/>
      <family val="1"/>
      <charset val="161"/>
    </font>
    <font>
      <b/>
      <sz val="18"/>
      <color indexed="8"/>
      <name val="Times New Roman"/>
      <family val="1"/>
      <charset val="161"/>
    </font>
    <font>
      <b/>
      <sz val="24"/>
      <color indexed="8"/>
      <name val="Times New Roman"/>
      <family val="1"/>
      <charset val="161"/>
    </font>
    <font>
      <b/>
      <sz val="14"/>
      <color indexed="8"/>
      <name val="Times New Roman"/>
      <family val="1"/>
      <charset val="161"/>
    </font>
    <font>
      <b/>
      <sz val="16"/>
      <color indexed="8"/>
      <name val="Times New Roman"/>
      <family val="1"/>
      <charset val="161"/>
    </font>
    <font>
      <b/>
      <sz val="11"/>
      <color indexed="8"/>
      <name val="Arial"/>
      <family val="2"/>
      <charset val="161"/>
    </font>
    <font>
      <b/>
      <sz val="10"/>
      <color indexed="8"/>
      <name val="Arial"/>
      <family val="2"/>
      <charset val="161"/>
    </font>
    <font>
      <b/>
      <u/>
      <sz val="10"/>
      <color indexed="8"/>
      <name val="Arial"/>
      <family val="2"/>
      <charset val="161"/>
    </font>
    <font>
      <b/>
      <sz val="14"/>
      <color rgb="FF33CCFF"/>
      <name val="Calibri"/>
      <family val="2"/>
    </font>
    <font>
      <b/>
      <sz val="9"/>
      <color indexed="81"/>
      <name val="Tahoma"/>
      <family val="2"/>
      <charset val="161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indexed="8"/>
      <name val="Times New Roman"/>
      <family val="1"/>
      <charset val="161"/>
    </font>
    <font>
      <sz val="11"/>
      <color theme="1"/>
      <name val="Arial Greek"/>
    </font>
    <font>
      <sz val="12"/>
      <color indexed="8"/>
      <name val="Times New Roman"/>
      <family val="1"/>
      <charset val="161"/>
    </font>
    <font>
      <sz val="10"/>
      <color theme="1"/>
      <name val="Gill Sans Light"/>
      <family val="2"/>
    </font>
    <font>
      <b/>
      <sz val="11"/>
      <color indexed="81"/>
      <name val="Tahoma"/>
      <family val="2"/>
      <charset val="161"/>
    </font>
    <font>
      <b/>
      <sz val="22"/>
      <name val="Times New Roman"/>
      <family val="1"/>
    </font>
    <font>
      <b/>
      <i/>
      <sz val="9"/>
      <color indexed="8"/>
      <name val="Times New Roman"/>
      <family val="1"/>
      <charset val="161"/>
    </font>
    <font>
      <b/>
      <sz val="10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mediumGray">
        <fgColor indexed="22"/>
        <bgColor indexed="9"/>
      </patternFill>
    </fill>
    <fill>
      <patternFill patternType="mediumGray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CCFF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fgColor indexed="22"/>
        <bgColor rgb="FFFFFF00"/>
      </patternFill>
    </fill>
  </fills>
  <borders count="1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1">
    <xf numFmtId="0" fontId="0" fillId="0" borderId="0"/>
    <xf numFmtId="0" fontId="71" fillId="2" borderId="0" applyNumberFormat="0" applyBorder="0" applyAlignment="0" applyProtection="0"/>
    <xf numFmtId="0" fontId="71" fillId="3" borderId="0" applyNumberFormat="0" applyBorder="0" applyAlignment="0" applyProtection="0"/>
    <xf numFmtId="0" fontId="71" fillId="4" borderId="0" applyNumberFormat="0" applyBorder="0" applyAlignment="0" applyProtection="0"/>
    <xf numFmtId="0" fontId="71" fillId="5" borderId="0" applyNumberFormat="0" applyBorder="0" applyAlignment="0" applyProtection="0"/>
    <xf numFmtId="0" fontId="71" fillId="6" borderId="0" applyNumberFormat="0" applyBorder="0" applyAlignment="0" applyProtection="0"/>
    <xf numFmtId="0" fontId="71" fillId="7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/>
    <xf numFmtId="0" fontId="71" fillId="10" borderId="0" applyNumberFormat="0" applyBorder="0" applyAlignment="0" applyProtection="0"/>
    <xf numFmtId="0" fontId="71" fillId="5" borderId="0" applyNumberFormat="0" applyBorder="0" applyAlignment="0" applyProtection="0"/>
    <xf numFmtId="0" fontId="71" fillId="8" borderId="0" applyNumberFormat="0" applyBorder="0" applyAlignment="0" applyProtection="0"/>
    <xf numFmtId="0" fontId="71" fillId="11" borderId="0" applyNumberFormat="0" applyBorder="0" applyAlignment="0" applyProtection="0"/>
    <xf numFmtId="0" fontId="72" fillId="12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15" borderId="0" applyNumberFormat="0" applyBorder="0" applyAlignment="0" applyProtection="0"/>
    <xf numFmtId="0" fontId="72" fillId="16" borderId="0" applyNumberFormat="0" applyBorder="0" applyAlignment="0" applyProtection="0"/>
    <xf numFmtId="0" fontId="72" fillId="17" borderId="0" applyNumberFormat="0" applyBorder="0" applyAlignment="0" applyProtection="0"/>
    <xf numFmtId="0" fontId="72" fillId="18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19" borderId="0" applyNumberFormat="0" applyBorder="0" applyAlignment="0" applyProtection="0"/>
    <xf numFmtId="0" fontId="73" fillId="3" borderId="0" applyNumberFormat="0" applyBorder="0" applyAlignment="0" applyProtection="0"/>
    <xf numFmtId="0" fontId="74" fillId="20" borderId="1" applyNumberFormat="0" applyAlignment="0" applyProtection="0"/>
    <xf numFmtId="0" fontId="75" fillId="21" borderId="2" applyNumberFormat="0" applyAlignment="0" applyProtection="0"/>
    <xf numFmtId="3" fontId="8" fillId="0" borderId="0" applyFont="0" applyFill="0" applyBorder="0" applyAlignment="0" applyProtection="0"/>
    <xf numFmtId="166" fontId="8" fillId="0" borderId="0" applyAlignment="0">
      <alignment horizontal="right"/>
    </xf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0" fontId="9" fillId="0" borderId="0" applyFont="0" applyFill="0" applyBorder="0" applyAlignment="0" applyProtection="0"/>
    <xf numFmtId="166" fontId="8" fillId="0" borderId="0">
      <alignment horizontal="centerContinuous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6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77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8" fillId="0" borderId="3" applyNumberFormat="0" applyFill="0" applyAlignment="0" applyProtection="0"/>
    <xf numFmtId="0" fontId="78" fillId="0" borderId="0" applyNumberFormat="0" applyFill="0" applyBorder="0" applyAlignment="0" applyProtection="0"/>
    <xf numFmtId="173" fontId="12" fillId="0" borderId="0">
      <protection locked="0"/>
    </xf>
    <xf numFmtId="173" fontId="12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79" fillId="7" borderId="1" applyNumberFormat="0" applyAlignment="0" applyProtection="0"/>
    <xf numFmtId="0" fontId="80" fillId="0" borderId="4" applyNumberFormat="0" applyFill="0" applyAlignment="0" applyProtection="0"/>
    <xf numFmtId="0" fontId="81" fillId="22" borderId="0" applyNumberFormat="0" applyBorder="0" applyAlignment="0" applyProtection="0"/>
    <xf numFmtId="0" fontId="8" fillId="0" borderId="0"/>
    <xf numFmtId="0" fontId="8" fillId="0" borderId="0"/>
    <xf numFmtId="0" fontId="8" fillId="23" borderId="5" applyNumberFormat="0" applyFont="0" applyAlignment="0" applyProtection="0"/>
    <xf numFmtId="0" fontId="82" fillId="20" borderId="6" applyNumberFormat="0" applyAlignment="0" applyProtection="0"/>
    <xf numFmtId="0" fontId="14" fillId="0" borderId="0"/>
    <xf numFmtId="39" fontId="46" fillId="0" borderId="7"/>
    <xf numFmtId="0" fontId="83" fillId="0" borderId="0" applyNumberFormat="0" applyFill="0" applyBorder="0" applyAlignment="0" applyProtection="0"/>
    <xf numFmtId="0" fontId="8" fillId="0" borderId="8" applyNumberFormat="0" applyFont="0" applyFill="0" applyAlignment="0" applyProtection="0"/>
    <xf numFmtId="42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7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55" fillId="24" borderId="0"/>
    <xf numFmtId="164" fontId="93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96" fillId="0" borderId="0"/>
    <xf numFmtId="0" fontId="97" fillId="0" borderId="0"/>
    <xf numFmtId="0" fontId="7" fillId="0" borderId="0"/>
    <xf numFmtId="0" fontId="102" fillId="0" borderId="0"/>
    <xf numFmtId="0" fontId="104" fillId="0" borderId="0"/>
    <xf numFmtId="0" fontId="104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5" fillId="0" borderId="0"/>
    <xf numFmtId="0" fontId="3" fillId="0" borderId="0"/>
    <xf numFmtId="0" fontId="2" fillId="0" borderId="0"/>
    <xf numFmtId="0" fontId="82" fillId="20" borderId="90" applyNumberFormat="0" applyAlignment="0" applyProtection="0"/>
    <xf numFmtId="0" fontId="8" fillId="23" borderId="89" applyNumberFormat="0" applyFont="0" applyAlignment="0" applyProtection="0"/>
    <xf numFmtId="0" fontId="82" fillId="20" borderId="97" applyNumberFormat="0" applyAlignment="0" applyProtection="0"/>
    <xf numFmtId="0" fontId="79" fillId="7" borderId="88" applyNumberFormat="0" applyAlignment="0" applyProtection="0"/>
    <xf numFmtId="0" fontId="8" fillId="23" borderId="96" applyNumberFormat="0" applyFont="0" applyAlignment="0" applyProtection="0"/>
    <xf numFmtId="0" fontId="79" fillId="7" borderId="94" applyNumberFormat="0" applyAlignment="0" applyProtection="0"/>
    <xf numFmtId="0" fontId="78" fillId="0" borderId="95" applyNumberFormat="0" applyFill="0" applyAlignment="0" applyProtection="0"/>
    <xf numFmtId="0" fontId="74" fillId="20" borderId="84" applyNumberFormat="0" applyAlignment="0" applyProtection="0"/>
    <xf numFmtId="0" fontId="78" fillId="0" borderId="93" applyNumberFormat="0" applyFill="0" applyAlignment="0" applyProtection="0"/>
    <xf numFmtId="0" fontId="78" fillId="0" borderId="85" applyNumberFormat="0" applyFill="0" applyAlignment="0" applyProtection="0"/>
    <xf numFmtId="0" fontId="74" fillId="20" borderId="88" applyNumberFormat="0" applyAlignment="0" applyProtection="0"/>
    <xf numFmtId="0" fontId="79" fillId="7" borderId="84" applyNumberFormat="0" applyAlignment="0" applyProtection="0"/>
    <xf numFmtId="0" fontId="8" fillId="23" borderId="86" applyNumberFormat="0" applyFont="0" applyAlignment="0" applyProtection="0"/>
    <xf numFmtId="0" fontId="82" fillId="20" borderId="87" applyNumberFormat="0" applyAlignment="0" applyProtection="0"/>
    <xf numFmtId="0" fontId="74" fillId="20" borderId="94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49" fillId="0" borderId="0"/>
    <xf numFmtId="0" fontId="104" fillId="0" borderId="0"/>
  </cellStyleXfs>
  <cellXfs count="1557">
    <xf numFmtId="0" fontId="0" fillId="0" borderId="0" xfId="0"/>
    <xf numFmtId="0" fontId="15" fillId="25" borderId="0" xfId="0" applyFont="1" applyFill="1"/>
    <xf numFmtId="0" fontId="17" fillId="25" borderId="0" xfId="0" applyFont="1" applyFill="1"/>
    <xf numFmtId="0" fontId="24" fillId="25" borderId="0" xfId="0" applyFont="1" applyFill="1"/>
    <xf numFmtId="0" fontId="25" fillId="25" borderId="0" xfId="0" quotePrefix="1" applyFont="1" applyFill="1" applyBorder="1" applyAlignment="1">
      <alignment horizontal="center"/>
    </xf>
    <xf numFmtId="4" fontId="19" fillId="25" borderId="0" xfId="0" applyNumberFormat="1" applyFont="1" applyFill="1" applyBorder="1" applyAlignment="1">
      <alignment horizontal="center" vertical="center"/>
    </xf>
    <xf numFmtId="14" fontId="25" fillId="25" borderId="0" xfId="0" applyNumberFormat="1" applyFont="1" applyFill="1" applyBorder="1" applyAlignment="1">
      <alignment horizontal="center"/>
    </xf>
    <xf numFmtId="171" fontId="19" fillId="25" borderId="0" xfId="0" applyNumberFormat="1" applyFont="1" applyFill="1" applyBorder="1" applyAlignment="1">
      <alignment horizontal="center" vertical="center"/>
    </xf>
    <xf numFmtId="171" fontId="24" fillId="25" borderId="0" xfId="0" applyNumberFormat="1" applyFont="1" applyFill="1" applyAlignment="1">
      <alignment horizontal="center"/>
    </xf>
    <xf numFmtId="0" fontId="27" fillId="25" borderId="0" xfId="0" applyFont="1" applyFill="1" applyAlignment="1"/>
    <xf numFmtId="49" fontId="27" fillId="25" borderId="0" xfId="0" applyNumberFormat="1" applyFont="1" applyFill="1" applyAlignment="1"/>
    <xf numFmtId="49" fontId="27" fillId="25" borderId="0" xfId="0" applyNumberFormat="1" applyFont="1" applyFill="1" applyAlignment="1">
      <alignment horizontal="center"/>
    </xf>
    <xf numFmtId="49" fontId="32" fillId="25" borderId="0" xfId="0" applyNumberFormat="1" applyFont="1" applyFill="1" applyBorder="1" applyAlignment="1">
      <alignment horizontal="center"/>
    </xf>
    <xf numFmtId="0" fontId="27" fillId="25" borderId="0" xfId="0" applyFont="1" applyFill="1" applyAlignment="1">
      <alignment vertical="center"/>
    </xf>
    <xf numFmtId="0" fontId="33" fillId="25" borderId="0" xfId="0" applyFont="1" applyFill="1" applyAlignment="1">
      <alignment vertical="center" wrapText="1"/>
    </xf>
    <xf numFmtId="49" fontId="32" fillId="25" borderId="0" xfId="0" applyNumberFormat="1" applyFont="1" applyFill="1" applyBorder="1" applyAlignment="1"/>
    <xf numFmtId="0" fontId="36" fillId="25" borderId="0" xfId="0" applyFont="1" applyFill="1" applyAlignment="1"/>
    <xf numFmtId="0" fontId="15" fillId="25" borderId="0" xfId="0" applyNumberFormat="1" applyFont="1" applyFill="1"/>
    <xf numFmtId="0" fontId="40" fillId="25" borderId="0" xfId="0" applyFont="1" applyFill="1" applyAlignment="1"/>
    <xf numFmtId="49" fontId="40" fillId="25" borderId="0" xfId="0" applyNumberFormat="1" applyFont="1" applyFill="1" applyAlignment="1"/>
    <xf numFmtId="0" fontId="25" fillId="25" borderId="0" xfId="0" applyNumberFormat="1" applyFont="1" applyFill="1" applyBorder="1" applyAlignment="1">
      <alignment horizontal="center"/>
    </xf>
    <xf numFmtId="0" fontId="41" fillId="25" borderId="0" xfId="0" applyFont="1" applyFill="1"/>
    <xf numFmtId="0" fontId="49" fillId="0" borderId="0" xfId="0" applyFont="1" applyFill="1" applyAlignment="1">
      <alignment vertical="center"/>
    </xf>
    <xf numFmtId="0" fontId="24" fillId="25" borderId="17" xfId="0" quotePrefix="1" applyFont="1" applyFill="1" applyBorder="1" applyAlignment="1">
      <alignment horizontal="center"/>
    </xf>
    <xf numFmtId="4" fontId="15" fillId="25" borderId="17" xfId="0" applyNumberFormat="1" applyFont="1" applyFill="1" applyBorder="1" applyAlignment="1">
      <alignment horizontal="center" vertical="center"/>
    </xf>
    <xf numFmtId="0" fontId="27" fillId="0" borderId="0" xfId="0" applyFont="1" applyFill="1" applyAlignment="1"/>
    <xf numFmtId="49" fontId="27" fillId="0" borderId="0" xfId="0" applyNumberFormat="1" applyFont="1" applyFill="1" applyAlignment="1"/>
    <xf numFmtId="49" fontId="27" fillId="0" borderId="0" xfId="0" applyNumberFormat="1" applyFont="1" applyFill="1" applyAlignment="1">
      <alignment horizontal="center"/>
    </xf>
    <xf numFmtId="49" fontId="29" fillId="0" borderId="0" xfId="0" applyNumberFormat="1" applyFont="1" applyFill="1" applyAlignment="1"/>
    <xf numFmtId="49" fontId="30" fillId="0" borderId="0" xfId="0" applyNumberFormat="1" applyFont="1" applyFill="1" applyAlignment="1"/>
    <xf numFmtId="0" fontId="34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5" fillId="25" borderId="30" xfId="0" applyFont="1" applyFill="1" applyBorder="1" applyAlignment="1">
      <alignment vertical="center"/>
    </xf>
    <xf numFmtId="0" fontId="25" fillId="25" borderId="27" xfId="0" applyFont="1" applyFill="1" applyBorder="1" applyAlignment="1">
      <alignment horizontal="center" vertical="center"/>
    </xf>
    <xf numFmtId="0" fontId="25" fillId="25" borderId="30" xfId="0" quotePrefix="1" applyFont="1" applyFill="1" applyBorder="1" applyAlignment="1">
      <alignment vertical="center"/>
    </xf>
    <xf numFmtId="4" fontId="17" fillId="25" borderId="3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Alignment="1">
      <alignment shrinkToFit="1"/>
    </xf>
    <xf numFmtId="49" fontId="54" fillId="25" borderId="0" xfId="0" applyNumberFormat="1" applyFont="1" applyFill="1" applyBorder="1" applyAlignment="1">
      <alignment horizontal="center" vertical="top"/>
    </xf>
    <xf numFmtId="0" fontId="49" fillId="0" borderId="0" xfId="0" applyFont="1" applyFill="1" applyAlignment="1"/>
    <xf numFmtId="0" fontId="18" fillId="0" borderId="0" xfId="0" applyFont="1" applyFill="1" applyAlignment="1">
      <alignment vertical="center"/>
    </xf>
    <xf numFmtId="49" fontId="49" fillId="0" borderId="0" xfId="0" applyNumberFormat="1" applyFont="1" applyFill="1" applyBorder="1" applyAlignment="1">
      <alignment vertical="center"/>
    </xf>
    <xf numFmtId="49" fontId="18" fillId="0" borderId="0" xfId="0" applyNumberFormat="1" applyFont="1" applyFill="1" applyBorder="1" applyAlignment="1">
      <alignment vertical="center"/>
    </xf>
    <xf numFmtId="49" fontId="49" fillId="0" borderId="0" xfId="0" applyNumberFormat="1" applyFont="1" applyFill="1" applyAlignment="1"/>
    <xf numFmtId="49" fontId="49" fillId="0" borderId="0" xfId="0" applyNumberFormat="1" applyFont="1" applyFill="1" applyAlignment="1">
      <alignment horizontal="center"/>
    </xf>
    <xf numFmtId="0" fontId="49" fillId="0" borderId="0" xfId="0" applyNumberFormat="1" applyFont="1" applyFill="1" applyAlignment="1"/>
    <xf numFmtId="49" fontId="49" fillId="0" borderId="0" xfId="0" applyNumberFormat="1" applyFont="1" applyFill="1" applyBorder="1" applyAlignment="1">
      <alignment vertical="top"/>
    </xf>
    <xf numFmtId="49" fontId="49" fillId="0" borderId="9" xfId="0" applyNumberFormat="1" applyFont="1" applyFill="1" applyBorder="1" applyAlignment="1">
      <alignment vertical="center"/>
    </xf>
    <xf numFmtId="49" fontId="18" fillId="0" borderId="14" xfId="0" applyNumberFormat="1" applyFont="1" applyFill="1" applyBorder="1" applyAlignment="1" applyProtection="1">
      <alignment horizontal="left" vertical="center"/>
      <protection locked="0"/>
    </xf>
    <xf numFmtId="49" fontId="49" fillId="0" borderId="10" xfId="0" applyNumberFormat="1" applyFont="1" applyFill="1" applyBorder="1" applyAlignment="1">
      <alignment vertical="center"/>
    </xf>
    <xf numFmtId="49" fontId="18" fillId="0" borderId="12" xfId="0" applyNumberFormat="1" applyFont="1" applyFill="1" applyBorder="1" applyAlignment="1" applyProtection="1">
      <alignment horizontal="left" vertical="center"/>
      <protection locked="0"/>
    </xf>
    <xf numFmtId="49" fontId="18" fillId="0" borderId="18" xfId="0" applyNumberFormat="1" applyFont="1" applyFill="1" applyBorder="1" applyAlignment="1" applyProtection="1">
      <alignment horizontal="left" vertical="center"/>
      <protection locked="0"/>
    </xf>
    <xf numFmtId="49" fontId="49" fillId="0" borderId="13" xfId="0" applyNumberFormat="1" applyFont="1" applyFill="1" applyBorder="1" applyAlignment="1">
      <alignment vertical="center"/>
    </xf>
    <xf numFmtId="49" fontId="49" fillId="0" borderId="14" xfId="0" applyNumberFormat="1" applyFont="1" applyFill="1" applyBorder="1" applyAlignment="1">
      <alignment vertical="center"/>
    </xf>
    <xf numFmtId="49" fontId="49" fillId="0" borderId="0" xfId="0" applyNumberFormat="1" applyFont="1" applyFill="1" applyAlignment="1">
      <alignment vertical="top"/>
    </xf>
    <xf numFmtId="0" fontId="19" fillId="0" borderId="13" xfId="0" applyNumberFormat="1" applyFont="1" applyFill="1" applyBorder="1" applyAlignment="1">
      <alignment vertical="center"/>
    </xf>
    <xf numFmtId="49" fontId="19" fillId="0" borderId="0" xfId="0" applyNumberFormat="1" applyFont="1" applyFill="1" applyBorder="1" applyAlignment="1">
      <alignment vertical="center"/>
    </xf>
    <xf numFmtId="0" fontId="19" fillId="0" borderId="17" xfId="0" applyNumberFormat="1" applyFont="1" applyFill="1" applyBorder="1" applyAlignment="1">
      <alignment vertical="center"/>
    </xf>
    <xf numFmtId="49" fontId="49" fillId="0" borderId="17" xfId="0" applyNumberFormat="1" applyFont="1" applyFill="1" applyBorder="1" applyAlignment="1">
      <alignment vertical="center"/>
    </xf>
    <xf numFmtId="49" fontId="49" fillId="0" borderId="10" xfId="0" applyNumberFormat="1" applyFont="1" applyFill="1" applyBorder="1" applyAlignment="1">
      <alignment vertical="top"/>
    </xf>
    <xf numFmtId="49" fontId="51" fillId="25" borderId="0" xfId="0" applyNumberFormat="1" applyFont="1" applyFill="1" applyBorder="1" applyAlignment="1">
      <alignment vertical="top"/>
    </xf>
    <xf numFmtId="0" fontId="19" fillId="0" borderId="0" xfId="0" applyNumberFormat="1" applyFont="1" applyFill="1" applyBorder="1" applyAlignment="1">
      <alignment vertical="center"/>
    </xf>
    <xf numFmtId="49" fontId="49" fillId="0" borderId="19" xfId="0" applyNumberFormat="1" applyFont="1" applyFill="1" applyBorder="1" applyAlignment="1"/>
    <xf numFmtId="0" fontId="15" fillId="0" borderId="30" xfId="0" applyNumberFormat="1" applyFont="1" applyFill="1" applyBorder="1" applyAlignment="1" applyProtection="1">
      <alignment vertical="center"/>
      <protection locked="0"/>
    </xf>
    <xf numFmtId="0" fontId="15" fillId="0" borderId="28" xfId="0" applyNumberFormat="1" applyFont="1" applyFill="1" applyBorder="1" applyAlignment="1" applyProtection="1">
      <alignment vertical="center"/>
      <protection locked="0"/>
    </xf>
    <xf numFmtId="0" fontId="15" fillId="25" borderId="28" xfId="0" applyNumberFormat="1" applyFont="1" applyFill="1" applyBorder="1" applyAlignment="1" applyProtection="1">
      <alignment vertical="center"/>
      <protection locked="0"/>
    </xf>
    <xf numFmtId="0" fontId="15" fillId="25" borderId="30" xfId="0" applyNumberFormat="1" applyFont="1" applyFill="1" applyBorder="1" applyAlignment="1" applyProtection="1">
      <alignment vertical="center"/>
      <protection locked="0"/>
    </xf>
    <xf numFmtId="0" fontId="15" fillId="25" borderId="35" xfId="0" applyNumberFormat="1" applyFont="1" applyFill="1" applyBorder="1" applyAlignment="1" applyProtection="1">
      <alignment vertical="center"/>
      <protection locked="0"/>
    </xf>
    <xf numFmtId="0" fontId="15" fillId="25" borderId="36" xfId="0" applyNumberFormat="1" applyFont="1" applyFill="1" applyBorder="1" applyAlignment="1" applyProtection="1">
      <alignment vertical="center"/>
      <protection locked="0"/>
    </xf>
    <xf numFmtId="0" fontId="15" fillId="25" borderId="37" xfId="0" applyNumberFormat="1" applyFont="1" applyFill="1" applyBorder="1" applyAlignment="1" applyProtection="1">
      <alignment vertical="center"/>
      <protection locked="0"/>
    </xf>
    <xf numFmtId="169" fontId="27" fillId="25" borderId="36" xfId="0" applyNumberFormat="1" applyFont="1" applyFill="1" applyBorder="1" applyAlignment="1" applyProtection="1">
      <alignment horizontal="center" vertical="center"/>
      <protection hidden="1"/>
    </xf>
    <xf numFmtId="49" fontId="59" fillId="0" borderId="21" xfId="0" applyNumberFormat="1" applyFont="1" applyFill="1" applyBorder="1" applyAlignment="1">
      <alignment horizontal="left" indent="1"/>
    </xf>
    <xf numFmtId="0" fontId="49" fillId="25" borderId="0" xfId="0" applyFont="1" applyFill="1" applyAlignment="1">
      <alignment vertical="center" wrapText="1"/>
    </xf>
    <xf numFmtId="49" fontId="27" fillId="0" borderId="28" xfId="0" applyNumberFormat="1" applyFont="1" applyFill="1" applyBorder="1" applyAlignment="1" applyProtection="1">
      <alignment horizontal="center" vertical="center" wrapText="1"/>
      <protection hidden="1"/>
    </xf>
    <xf numFmtId="0" fontId="27" fillId="25" borderId="37" xfId="0" applyNumberFormat="1" applyFont="1" applyFill="1" applyBorder="1" applyAlignment="1" applyProtection="1">
      <alignment horizontal="center" vertical="center"/>
      <protection hidden="1"/>
    </xf>
    <xf numFmtId="0" fontId="27" fillId="25" borderId="35" xfId="0" applyNumberFormat="1" applyFont="1" applyFill="1" applyBorder="1" applyAlignment="1" applyProtection="1">
      <alignment horizontal="center" vertical="center"/>
      <protection hidden="1"/>
    </xf>
    <xf numFmtId="49" fontId="8" fillId="25" borderId="37" xfId="0" applyNumberFormat="1" applyFont="1" applyFill="1" applyBorder="1" applyAlignment="1" applyProtection="1">
      <alignment horizontal="left" vertical="center"/>
      <protection hidden="1"/>
    </xf>
    <xf numFmtId="49" fontId="27" fillId="0" borderId="28" xfId="0" applyNumberFormat="1" applyFont="1" applyFill="1" applyBorder="1" applyAlignment="1" applyProtection="1">
      <alignment vertical="center" wrapText="1"/>
      <protection hidden="1"/>
    </xf>
    <xf numFmtId="0" fontId="27" fillId="25" borderId="28" xfId="0" applyNumberFormat="1" applyFont="1" applyFill="1" applyBorder="1" applyAlignment="1" applyProtection="1">
      <alignment vertical="center"/>
      <protection hidden="1"/>
    </xf>
    <xf numFmtId="0" fontId="15" fillId="25" borderId="27" xfId="0" applyNumberFormat="1" applyFont="1" applyFill="1" applyBorder="1" applyAlignment="1" applyProtection="1">
      <alignment horizontal="right" vertical="center"/>
      <protection locked="0"/>
    </xf>
    <xf numFmtId="49" fontId="15" fillId="0" borderId="27" xfId="0" applyNumberFormat="1" applyFont="1" applyFill="1" applyBorder="1" applyAlignment="1" applyProtection="1">
      <alignment horizontal="left" vertical="center" indent="1"/>
      <protection locked="0"/>
    </xf>
    <xf numFmtId="0" fontId="15" fillId="25" borderId="35" xfId="0" applyNumberFormat="1" applyFont="1" applyFill="1" applyBorder="1" applyAlignment="1" applyProtection="1">
      <alignment horizontal="left" vertical="center" indent="1"/>
      <protection locked="0"/>
    </xf>
    <xf numFmtId="0" fontId="15" fillId="0" borderId="0" xfId="0" applyFont="1" applyFill="1" applyAlignment="1">
      <alignment vertical="center"/>
    </xf>
    <xf numFmtId="0" fontId="62" fillId="25" borderId="17" xfId="0" applyFont="1" applyFill="1" applyBorder="1" applyAlignment="1">
      <alignment vertical="center"/>
    </xf>
    <xf numFmtId="0" fontId="53" fillId="25" borderId="0" xfId="0" applyFont="1" applyFill="1" applyBorder="1" applyAlignment="1"/>
    <xf numFmtId="0" fontId="57" fillId="26" borderId="17" xfId="0" applyFont="1" applyFill="1" applyBorder="1" applyAlignment="1">
      <alignment horizontal="center" vertical="center"/>
    </xf>
    <xf numFmtId="0" fontId="57" fillId="27" borderId="34" xfId="0" applyFont="1" applyFill="1" applyBorder="1" applyAlignment="1">
      <alignment horizontal="center" vertical="center"/>
    </xf>
    <xf numFmtId="0" fontId="25" fillId="25" borderId="15" xfId="0" applyNumberFormat="1" applyFont="1" applyFill="1" applyBorder="1" applyAlignment="1">
      <alignment horizontal="center" vertical="center"/>
    </xf>
    <xf numFmtId="0" fontId="25" fillId="25" borderId="15" xfId="0" applyNumberFormat="1" applyFont="1" applyFill="1" applyBorder="1" applyAlignment="1"/>
    <xf numFmtId="14" fontId="25" fillId="25" borderId="15" xfId="0" applyNumberFormat="1" applyFont="1" applyFill="1" applyBorder="1" applyAlignment="1">
      <alignment horizontal="left" indent="1" shrinkToFit="1"/>
    </xf>
    <xf numFmtId="0" fontId="25" fillId="25" borderId="15" xfId="0" applyFont="1" applyFill="1" applyBorder="1" applyAlignment="1">
      <alignment horizontal="left" indent="1" shrinkToFit="1"/>
    </xf>
    <xf numFmtId="0" fontId="57" fillId="26" borderId="11" xfId="0" applyFont="1" applyFill="1" applyBorder="1" applyAlignment="1">
      <alignment horizontal="center" vertical="center"/>
    </xf>
    <xf numFmtId="0" fontId="57" fillId="26" borderId="18" xfId="0" applyFont="1" applyFill="1" applyBorder="1" applyAlignment="1">
      <alignment horizontal="center" vertical="center"/>
    </xf>
    <xf numFmtId="0" fontId="25" fillId="25" borderId="34" xfId="0" applyNumberFormat="1" applyFont="1" applyFill="1" applyBorder="1" applyAlignment="1">
      <alignment horizontal="center" vertical="center"/>
    </xf>
    <xf numFmtId="0" fontId="57" fillId="26" borderId="9" xfId="0" applyFont="1" applyFill="1" applyBorder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15" fillId="25" borderId="0" xfId="0" applyFont="1" applyFill="1" applyAlignment="1">
      <alignment horizontal="center" vertical="center"/>
    </xf>
    <xf numFmtId="0" fontId="57" fillId="26" borderId="13" xfId="0" applyFont="1" applyFill="1" applyBorder="1" applyAlignment="1">
      <alignment horizontal="center" vertical="center"/>
    </xf>
    <xf numFmtId="171" fontId="15" fillId="25" borderId="18" xfId="0" applyNumberFormat="1" applyFont="1" applyFill="1" applyBorder="1" applyAlignment="1">
      <alignment vertical="center" wrapText="1"/>
    </xf>
    <xf numFmtId="0" fontId="62" fillId="25" borderId="17" xfId="0" applyNumberFormat="1" applyFont="1" applyFill="1" applyBorder="1" applyAlignment="1">
      <alignment vertical="center"/>
    </xf>
    <xf numFmtId="0" fontId="25" fillId="25" borderId="15" xfId="0" applyNumberFormat="1" applyFont="1" applyFill="1" applyBorder="1" applyAlignment="1">
      <alignment horizontal="left" indent="1" shrinkToFit="1"/>
    </xf>
    <xf numFmtId="0" fontId="24" fillId="25" borderId="0" xfId="0" applyNumberFormat="1" applyFont="1" applyFill="1"/>
    <xf numFmtId="0" fontId="53" fillId="25" borderId="0" xfId="0" applyNumberFormat="1" applyFont="1" applyFill="1" applyBorder="1" applyAlignment="1">
      <alignment horizontal="center"/>
    </xf>
    <xf numFmtId="0" fontId="54" fillId="25" borderId="0" xfId="0" applyNumberFormat="1" applyFont="1" applyFill="1" applyBorder="1" applyAlignment="1">
      <alignment horizontal="center" vertical="top"/>
    </xf>
    <xf numFmtId="0" fontId="25" fillId="25" borderId="23" xfId="0" applyFont="1" applyFill="1" applyBorder="1" applyAlignment="1">
      <alignment horizontal="center" vertical="center"/>
    </xf>
    <xf numFmtId="0" fontId="25" fillId="25" borderId="26" xfId="0" applyFont="1" applyFill="1" applyBorder="1" applyAlignment="1">
      <alignment vertical="center"/>
    </xf>
    <xf numFmtId="171" fontId="17" fillId="25" borderId="14" xfId="0" applyNumberFormat="1" applyFont="1" applyFill="1" applyBorder="1" applyAlignment="1">
      <alignment vertical="center" wrapText="1"/>
    </xf>
    <xf numFmtId="0" fontId="25" fillId="25" borderId="27" xfId="0" quotePrefix="1" applyFont="1" applyFill="1" applyBorder="1" applyAlignment="1">
      <alignment horizontal="center" vertical="center"/>
    </xf>
    <xf numFmtId="171" fontId="17" fillId="25" borderId="28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shrinkToFit="1"/>
    </xf>
    <xf numFmtId="0" fontId="24" fillId="25" borderId="11" xfId="0" applyFont="1" applyFill="1" applyBorder="1" applyAlignment="1">
      <alignment horizontal="left" indent="1"/>
    </xf>
    <xf numFmtId="0" fontId="57" fillId="26" borderId="11" xfId="0" applyNumberFormat="1" applyFont="1" applyFill="1" applyBorder="1" applyAlignment="1">
      <alignment horizontal="center" vertical="center"/>
    </xf>
    <xf numFmtId="0" fontId="25" fillId="25" borderId="10" xfId="30" applyNumberFormat="1" applyFont="1" applyFill="1" applyBorder="1" applyAlignment="1" applyProtection="1">
      <alignment horizontal="right" vertical="center"/>
    </xf>
    <xf numFmtId="0" fontId="25" fillId="25" borderId="27" xfId="30" applyNumberFormat="1" applyFont="1" applyFill="1" applyBorder="1" applyAlignment="1" applyProtection="1">
      <alignment horizontal="right" vertical="center"/>
    </xf>
    <xf numFmtId="0" fontId="25" fillId="25" borderId="27" xfId="30" applyNumberFormat="1" applyFont="1" applyFill="1" applyBorder="1" applyAlignment="1" applyProtection="1">
      <alignment vertical="center"/>
    </xf>
    <xf numFmtId="0" fontId="25" fillId="25" borderId="27" xfId="30" quotePrefix="1" applyNumberFormat="1" applyFont="1" applyFill="1" applyBorder="1" applyAlignment="1" applyProtection="1">
      <alignment vertical="center"/>
    </xf>
    <xf numFmtId="0" fontId="24" fillId="25" borderId="11" xfId="0" applyNumberFormat="1" applyFont="1" applyFill="1" applyBorder="1" applyAlignment="1">
      <alignment vertical="center"/>
    </xf>
    <xf numFmtId="49" fontId="49" fillId="0" borderId="0" xfId="0" applyNumberFormat="1" applyFont="1" applyFill="1" applyBorder="1" applyAlignment="1"/>
    <xf numFmtId="49" fontId="49" fillId="0" borderId="12" xfId="0" applyNumberFormat="1" applyFont="1" applyFill="1" applyBorder="1" applyAlignment="1" applyProtection="1">
      <alignment horizontal="left"/>
      <protection locked="0"/>
    </xf>
    <xf numFmtId="0" fontId="49" fillId="0" borderId="0" xfId="0" applyFont="1" applyFill="1" applyBorder="1" applyAlignment="1"/>
    <xf numFmtId="49" fontId="59" fillId="0" borderId="0" xfId="0" applyNumberFormat="1" applyFont="1" applyFill="1" applyBorder="1" applyAlignment="1">
      <alignment horizontal="left" indent="1"/>
    </xf>
    <xf numFmtId="0" fontId="28" fillId="0" borderId="0" xfId="0" applyFont="1" applyFill="1" applyBorder="1" applyAlignment="1">
      <alignment horizontal="left" vertical="center" indent="2"/>
    </xf>
    <xf numFmtId="0" fontId="28" fillId="0" borderId="0" xfId="0" applyFont="1" applyFill="1" applyBorder="1" applyAlignment="1">
      <alignment horizontal="left" vertical="center"/>
    </xf>
    <xf numFmtId="0" fontId="50" fillId="25" borderId="0" xfId="0" applyFont="1" applyFill="1" applyAlignment="1">
      <alignment horizontal="center" vertical="center" wrapText="1"/>
    </xf>
    <xf numFmtId="0" fontId="50" fillId="25" borderId="16" xfId="0" applyFont="1" applyFill="1" applyBorder="1" applyAlignment="1">
      <alignment horizontal="center" vertical="center" wrapText="1"/>
    </xf>
    <xf numFmtId="0" fontId="28" fillId="0" borderId="0" xfId="0" applyNumberFormat="1" applyFont="1" applyFill="1" applyBorder="1" applyAlignment="1">
      <alignment horizontal="left" vertical="center"/>
    </xf>
    <xf numFmtId="0" fontId="63" fillId="0" borderId="0" xfId="0" applyNumberFormat="1" applyFont="1" applyFill="1" applyBorder="1" applyAlignment="1">
      <alignment horizontal="left" vertical="center"/>
    </xf>
    <xf numFmtId="0" fontId="42" fillId="0" borderId="0" xfId="0" applyFont="1" applyFill="1"/>
    <xf numFmtId="0" fontId="42" fillId="0" borderId="0" xfId="0" applyFont="1" applyFill="1" applyAlignment="1">
      <alignment vertical="center"/>
    </xf>
    <xf numFmtId="0" fontId="15" fillId="0" borderId="0" xfId="0" applyFont="1" applyFill="1"/>
    <xf numFmtId="0" fontId="19" fillId="0" borderId="10" xfId="0" applyNumberFormat="1" applyFont="1" applyFill="1" applyBorder="1" applyAlignment="1">
      <alignment horizontal="left" vertical="center" indent="1" shrinkToFit="1"/>
    </xf>
    <xf numFmtId="0" fontId="22" fillId="28" borderId="0" xfId="47" applyFont="1" applyFill="1" applyAlignment="1" applyProtection="1">
      <alignment vertical="center"/>
    </xf>
    <xf numFmtId="0" fontId="42" fillId="28" borderId="0" xfId="0" applyFont="1" applyFill="1"/>
    <xf numFmtId="0" fontId="15" fillId="28" borderId="0" xfId="0" applyFont="1" applyFill="1" applyAlignment="1">
      <alignment vertical="center"/>
    </xf>
    <xf numFmtId="0" fontId="42" fillId="28" borderId="0" xfId="0" applyFont="1" applyFill="1" applyAlignment="1">
      <alignment vertical="center"/>
    </xf>
    <xf numFmtId="0" fontId="29" fillId="28" borderId="0" xfId="0" applyFont="1" applyFill="1" applyBorder="1" applyAlignment="1" applyProtection="1">
      <alignment vertical="center"/>
      <protection locked="0"/>
    </xf>
    <xf numFmtId="0" fontId="15" fillId="28" borderId="0" xfId="0" applyFont="1" applyFill="1" applyBorder="1" applyAlignment="1">
      <alignment vertical="center"/>
    </xf>
    <xf numFmtId="0" fontId="11" fillId="28" borderId="0" xfId="0" applyFont="1" applyFill="1" applyBorder="1" applyAlignment="1" applyProtection="1">
      <alignment vertical="center"/>
      <protection locked="0"/>
    </xf>
    <xf numFmtId="49" fontId="11" fillId="28" borderId="0" xfId="0" applyNumberFormat="1" applyFont="1" applyFill="1" applyBorder="1" applyAlignment="1" applyProtection="1">
      <alignment vertical="center"/>
      <protection locked="0"/>
    </xf>
    <xf numFmtId="49" fontId="11" fillId="28" borderId="0" xfId="0" applyNumberFormat="1" applyFont="1" applyFill="1" applyBorder="1" applyAlignment="1">
      <alignment vertical="center"/>
    </xf>
    <xf numFmtId="0" fontId="42" fillId="28" borderId="0" xfId="0" applyFont="1" applyFill="1" applyBorder="1" applyAlignment="1">
      <alignment vertical="center"/>
    </xf>
    <xf numFmtId="0" fontId="37" fillId="28" borderId="0" xfId="0" applyFont="1" applyFill="1" applyAlignment="1">
      <alignment vertical="center"/>
    </xf>
    <xf numFmtId="0" fontId="48" fillId="28" borderId="0" xfId="0" applyFont="1" applyFill="1" applyBorder="1" applyAlignment="1" applyProtection="1">
      <alignment horizontal="left" vertical="center"/>
    </xf>
    <xf numFmtId="0" fontId="48" fillId="28" borderId="0" xfId="0" applyFont="1" applyFill="1" applyBorder="1" applyAlignment="1" applyProtection="1">
      <alignment horizontal="left" vertical="center" shrinkToFit="1"/>
      <protection locked="0"/>
    </xf>
    <xf numFmtId="0" fontId="48" fillId="28" borderId="0" xfId="0" applyFont="1" applyFill="1" applyBorder="1" applyAlignment="1" applyProtection="1">
      <alignment horizontal="center" vertical="center"/>
      <protection locked="0"/>
    </xf>
    <xf numFmtId="0" fontId="42" fillId="28" borderId="0" xfId="0" applyFont="1" applyFill="1" applyBorder="1" applyAlignment="1">
      <alignment horizontal="left"/>
    </xf>
    <xf numFmtId="0" fontId="42" fillId="28" borderId="0" xfId="0" applyFont="1" applyFill="1" applyAlignment="1">
      <alignment horizontal="left"/>
    </xf>
    <xf numFmtId="0" fontId="42" fillId="28" borderId="0" xfId="0" applyFont="1" applyFill="1" applyBorder="1"/>
    <xf numFmtId="0" fontId="11" fillId="28" borderId="0" xfId="0" applyFont="1" applyFill="1" applyBorder="1" applyAlignment="1" applyProtection="1">
      <alignment horizontal="center" vertical="center"/>
      <protection locked="0"/>
    </xf>
    <xf numFmtId="15" fontId="11" fillId="28" borderId="0" xfId="0" applyNumberFormat="1" applyFont="1" applyFill="1" applyBorder="1" applyAlignment="1" applyProtection="1">
      <alignment horizontal="center" vertical="center"/>
      <protection locked="0"/>
    </xf>
    <xf numFmtId="49" fontId="11" fillId="28" borderId="0" xfId="0" quotePrefix="1" applyNumberFormat="1" applyFont="1" applyFill="1" applyBorder="1" applyAlignment="1" applyProtection="1">
      <alignment horizontal="center" vertical="center"/>
      <protection locked="0"/>
    </xf>
    <xf numFmtId="0" fontId="15" fillId="28" borderId="0" xfId="0" applyFont="1" applyFill="1" applyBorder="1" applyAlignment="1" applyProtection="1">
      <alignment vertical="center"/>
      <protection locked="0"/>
    </xf>
    <xf numFmtId="0" fontId="11" fillId="28" borderId="0" xfId="0" applyFont="1" applyFill="1" applyBorder="1" applyAlignment="1">
      <alignment horizontal="center" vertical="center"/>
    </xf>
    <xf numFmtId="172" fontId="11" fillId="28" borderId="0" xfId="0" applyNumberFormat="1" applyFont="1" applyFill="1" applyBorder="1" applyAlignment="1" applyProtection="1">
      <alignment horizontal="center" vertical="center" shrinkToFit="1"/>
      <protection locked="0"/>
    </xf>
    <xf numFmtId="172" fontId="11" fillId="28" borderId="0" xfId="0" quotePrefix="1" applyNumberFormat="1" applyFont="1" applyFill="1" applyBorder="1" applyAlignment="1" applyProtection="1">
      <alignment horizontal="center" shrinkToFit="1"/>
      <protection locked="0"/>
    </xf>
    <xf numFmtId="172" fontId="11" fillId="28" borderId="0" xfId="0" quotePrefix="1" applyNumberFormat="1" applyFont="1" applyFill="1" applyBorder="1" applyAlignment="1" applyProtection="1">
      <alignment shrinkToFit="1"/>
      <protection locked="0"/>
    </xf>
    <xf numFmtId="0" fontId="47" fillId="28" borderId="0" xfId="0" applyFont="1" applyFill="1" applyAlignment="1">
      <alignment horizontal="left"/>
    </xf>
    <xf numFmtId="0" fontId="47" fillId="28" borderId="0" xfId="0" applyFont="1" applyFill="1" applyAlignment="1"/>
    <xf numFmtId="0" fontId="16" fillId="28" borderId="0" xfId="0" applyFont="1" applyFill="1" applyBorder="1" applyAlignment="1">
      <alignment horizontal="left" vertical="center"/>
    </xf>
    <xf numFmtId="0" fontId="22" fillId="28" borderId="0" xfId="47" quotePrefix="1" applyFont="1" applyFill="1" applyAlignment="1" applyProtection="1">
      <alignment horizontal="left" vertical="center"/>
    </xf>
    <xf numFmtId="0" fontId="22" fillId="28" borderId="0" xfId="47" applyFont="1" applyFill="1" applyAlignment="1" applyProtection="1">
      <alignment horizontal="left" vertical="center"/>
    </xf>
    <xf numFmtId="0" fontId="44" fillId="28" borderId="0" xfId="0" applyFont="1" applyFill="1" applyBorder="1" applyAlignment="1" applyProtection="1">
      <alignment horizontal="center" vertical="center"/>
      <protection locked="0"/>
    </xf>
    <xf numFmtId="0" fontId="15" fillId="28" borderId="0" xfId="0" applyFont="1" applyFill="1" applyBorder="1"/>
    <xf numFmtId="0" fontId="15" fillId="28" borderId="0" xfId="0" applyFont="1" applyFill="1"/>
    <xf numFmtId="0" fontId="18" fillId="28" borderId="0" xfId="0" applyFont="1" applyFill="1" applyAlignment="1">
      <alignment horizontal="right"/>
    </xf>
    <xf numFmtId="0" fontId="42" fillId="28" borderId="0" xfId="0" applyFont="1" applyFill="1" applyAlignment="1">
      <alignment horizontal="right"/>
    </xf>
    <xf numFmtId="0" fontId="44" fillId="28" borderId="0" xfId="0" applyFont="1" applyFill="1" applyBorder="1" applyAlignment="1" applyProtection="1">
      <alignment vertical="center"/>
      <protection locked="0"/>
    </xf>
    <xf numFmtId="0" fontId="20" fillId="28" borderId="0" xfId="0" applyFont="1" applyFill="1" applyBorder="1" applyAlignment="1">
      <alignment shrinkToFit="1"/>
    </xf>
    <xf numFmtId="0" fontId="22" fillId="28" borderId="0" xfId="47" quotePrefix="1" applyFont="1" applyFill="1" applyAlignment="1" applyProtection="1">
      <alignment vertical="center"/>
    </xf>
    <xf numFmtId="0" fontId="39" fillId="28" borderId="0" xfId="47" applyFont="1" applyFill="1" applyAlignment="1" applyProtection="1">
      <alignment vertical="center"/>
    </xf>
    <xf numFmtId="0" fontId="43" fillId="28" borderId="0" xfId="0" applyFont="1" applyFill="1" applyAlignment="1"/>
    <xf numFmtId="0" fontId="16" fillId="28" borderId="0" xfId="0" applyFont="1" applyFill="1" applyBorder="1"/>
    <xf numFmtId="0" fontId="16" fillId="28" borderId="0" xfId="0" applyFont="1" applyFill="1" applyBorder="1" applyAlignment="1">
      <alignment horizontal="left"/>
    </xf>
    <xf numFmtId="0" fontId="17" fillId="28" borderId="0" xfId="0" applyFont="1" applyFill="1" applyBorder="1" applyAlignment="1">
      <alignment horizontal="right"/>
    </xf>
    <xf numFmtId="0" fontId="15" fillId="28" borderId="0" xfId="0" applyFont="1" applyFill="1" applyBorder="1" applyAlignment="1">
      <alignment horizontal="right"/>
    </xf>
    <xf numFmtId="0" fontId="67" fillId="28" borderId="0" xfId="0" applyFont="1" applyFill="1"/>
    <xf numFmtId="0" fontId="68" fillId="28" borderId="0" xfId="0" applyFont="1" applyFill="1" applyAlignment="1">
      <alignment vertical="center"/>
    </xf>
    <xf numFmtId="0" fontId="69" fillId="28" borderId="0" xfId="0" applyFont="1" applyFill="1" applyBorder="1" applyAlignment="1">
      <alignment vertical="center"/>
    </xf>
    <xf numFmtId="0" fontId="68" fillId="28" borderId="0" xfId="0" applyFont="1" applyFill="1"/>
    <xf numFmtId="14" fontId="68" fillId="28" borderId="0" xfId="0" applyNumberFormat="1" applyFont="1" applyFill="1" applyBorder="1" applyAlignment="1">
      <alignment vertical="center"/>
    </xf>
    <xf numFmtId="0" fontId="68" fillId="28" borderId="0" xfId="0" applyFont="1" applyFill="1" applyBorder="1" applyAlignment="1">
      <alignment vertical="center"/>
    </xf>
    <xf numFmtId="0" fontId="57" fillId="25" borderId="28" xfId="30" applyNumberFormat="1" applyFont="1" applyFill="1" applyBorder="1" applyAlignment="1" applyProtection="1">
      <alignment horizontal="center" vertical="center" wrapText="1"/>
    </xf>
    <xf numFmtId="4" fontId="15" fillId="25" borderId="0" xfId="0" applyNumberFormat="1" applyFont="1" applyFill="1" applyBorder="1" applyAlignment="1">
      <alignment horizontal="center" vertical="center"/>
    </xf>
    <xf numFmtId="0" fontId="24" fillId="25" borderId="0" xfId="0" quotePrefix="1" applyFont="1" applyFill="1" applyBorder="1" applyAlignment="1">
      <alignment horizontal="center"/>
    </xf>
    <xf numFmtId="49" fontId="17" fillId="0" borderId="0" xfId="0" applyNumberFormat="1" applyFont="1" applyFill="1" applyAlignment="1">
      <alignment vertical="center" shrinkToFit="1"/>
    </xf>
    <xf numFmtId="0" fontId="24" fillId="25" borderId="0" xfId="0" applyNumberFormat="1" applyFont="1" applyFill="1" applyBorder="1" applyAlignment="1">
      <alignment vertical="center"/>
    </xf>
    <xf numFmtId="171" fontId="15" fillId="25" borderId="0" xfId="0" applyNumberFormat="1" applyFont="1" applyFill="1" applyBorder="1" applyAlignment="1">
      <alignment vertical="center" wrapText="1"/>
    </xf>
    <xf numFmtId="0" fontId="24" fillId="25" borderId="0" xfId="0" applyFont="1" applyFill="1" applyBorder="1" applyAlignment="1">
      <alignment horizontal="left" indent="1"/>
    </xf>
    <xf numFmtId="180" fontId="25" fillId="25" borderId="34" xfId="0" applyNumberFormat="1" applyFont="1" applyFill="1" applyBorder="1" applyAlignment="1">
      <alignment horizontal="center" vertical="center" shrinkToFit="1"/>
    </xf>
    <xf numFmtId="0" fontId="89" fillId="28" borderId="0" xfId="0" applyFont="1" applyFill="1" applyAlignment="1">
      <alignment vertical="center"/>
    </xf>
    <xf numFmtId="0" fontId="90" fillId="28" borderId="0" xfId="0" applyFont="1" applyFill="1"/>
    <xf numFmtId="0" fontId="91" fillId="28" borderId="0" xfId="0" applyFont="1" applyFill="1"/>
    <xf numFmtId="180" fontId="24" fillId="25" borderId="0" xfId="0" applyNumberFormat="1" applyFont="1" applyFill="1"/>
    <xf numFmtId="49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49" fontId="8" fillId="30" borderId="29" xfId="0" applyNumberFormat="1" applyFont="1" applyFill="1" applyBorder="1" applyAlignment="1" applyProtection="1">
      <alignment vertical="center" shrinkToFit="1"/>
      <protection locked="0"/>
    </xf>
    <xf numFmtId="171" fontId="8" fillId="30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30" borderId="29" xfId="0" applyFont="1" applyFill="1" applyBorder="1" applyAlignment="1" applyProtection="1">
      <alignment vertical="center" shrinkToFit="1"/>
      <protection locked="0"/>
    </xf>
    <xf numFmtId="15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49" fontId="8" fillId="30" borderId="29" xfId="0" applyNumberFormat="1" applyFont="1" applyFill="1" applyBorder="1" applyAlignment="1" applyProtection="1">
      <alignment horizontal="center" vertical="center" wrapText="1"/>
      <protection locked="0"/>
    </xf>
    <xf numFmtId="171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27" xfId="0" applyNumberFormat="1" applyFont="1" applyFill="1" applyBorder="1" applyAlignment="1" applyProtection="1">
      <alignment horizontal="right" vertical="center"/>
      <protection locked="0"/>
    </xf>
    <xf numFmtId="0" fontId="8" fillId="28" borderId="0" xfId="0" applyFont="1" applyFill="1" applyAlignment="1">
      <alignment vertical="center"/>
    </xf>
    <xf numFmtId="49" fontId="8" fillId="0" borderId="27" xfId="0" applyNumberFormat="1" applyFont="1" applyFill="1" applyBorder="1" applyAlignment="1" applyProtection="1">
      <alignment horizontal="left" vertical="center" indent="1"/>
      <protection locked="0"/>
    </xf>
    <xf numFmtId="0" fontId="8" fillId="25" borderId="27" xfId="0" applyNumberFormat="1" applyFont="1" applyFill="1" applyBorder="1" applyAlignment="1" applyProtection="1">
      <alignment horizontal="right" vertical="center"/>
      <protection locked="0"/>
    </xf>
    <xf numFmtId="0" fontId="42" fillId="33" borderId="0" xfId="0" applyFont="1" applyFill="1"/>
    <xf numFmtId="0" fontId="15" fillId="33" borderId="0" xfId="0" applyFont="1" applyFill="1" applyAlignment="1">
      <alignment vertical="center"/>
    </xf>
    <xf numFmtId="0" fontId="42" fillId="33" borderId="0" xfId="0" applyFont="1" applyFill="1" applyAlignment="1">
      <alignment vertical="center"/>
    </xf>
    <xf numFmtId="0" fontId="15" fillId="33" borderId="0" xfId="0" applyFont="1" applyFill="1"/>
    <xf numFmtId="0" fontId="89" fillId="28" borderId="0" xfId="0" applyFont="1" applyFill="1" applyBorder="1" applyAlignment="1">
      <alignment vertical="center"/>
    </xf>
    <xf numFmtId="0" fontId="8" fillId="28" borderId="0" xfId="0" applyFont="1" applyFill="1" applyAlignment="1">
      <alignment vertical="center" wrapText="1"/>
    </xf>
    <xf numFmtId="0" fontId="27" fillId="0" borderId="0" xfId="0" applyFont="1" applyFill="1" applyAlignment="1">
      <alignment horizontal="center"/>
    </xf>
    <xf numFmtId="49" fontId="106" fillId="25" borderId="16" xfId="0" applyNumberFormat="1" applyFont="1" applyFill="1" applyBorder="1" applyAlignment="1">
      <alignment horizontal="center" vertical="center" wrapText="1"/>
    </xf>
    <xf numFmtId="49" fontId="49" fillId="25" borderId="16" xfId="0" applyNumberFormat="1" applyFont="1" applyFill="1" applyBorder="1" applyAlignment="1">
      <alignment horizontal="center" vertical="center" wrapText="1"/>
    </xf>
    <xf numFmtId="49" fontId="59" fillId="25" borderId="16" xfId="0" applyNumberFormat="1" applyFont="1" applyFill="1" applyBorder="1" applyAlignment="1">
      <alignment horizontal="center" vertical="center" wrapText="1"/>
    </xf>
    <xf numFmtId="49" fontId="106" fillId="25" borderId="19" xfId="0" applyNumberFormat="1" applyFont="1" applyFill="1" applyBorder="1" applyAlignment="1">
      <alignment horizontal="center" vertical="center" wrapText="1"/>
    </xf>
    <xf numFmtId="0" fontId="49" fillId="25" borderId="16" xfId="0" applyFont="1" applyFill="1" applyBorder="1" applyAlignment="1">
      <alignment horizontal="center" vertical="center" wrapText="1"/>
    </xf>
    <xf numFmtId="0" fontId="27" fillId="25" borderId="16" xfId="0" applyFont="1" applyFill="1" applyBorder="1" applyAlignment="1"/>
    <xf numFmtId="49" fontId="27" fillId="25" borderId="16" xfId="0" applyNumberFormat="1" applyFont="1" applyFill="1" applyBorder="1" applyAlignment="1">
      <alignment horizontal="center"/>
    </xf>
    <xf numFmtId="0" fontId="27" fillId="25" borderId="16" xfId="0" applyFont="1" applyFill="1" applyBorder="1" applyAlignment="1">
      <alignment horizontal="center"/>
    </xf>
    <xf numFmtId="0" fontId="92" fillId="25" borderId="16" xfId="0" applyFont="1" applyFill="1" applyBorder="1" applyAlignment="1"/>
    <xf numFmtId="49" fontId="87" fillId="25" borderId="16" xfId="0" applyNumberFormat="1" applyFont="1" applyFill="1" applyBorder="1" applyAlignment="1"/>
    <xf numFmtId="171" fontId="8" fillId="30" borderId="29" xfId="76" applyNumberFormat="1" applyFont="1" applyFill="1" applyBorder="1" applyAlignment="1" applyProtection="1">
      <alignment horizontal="center" vertical="center" shrinkToFit="1"/>
      <protection locked="0"/>
    </xf>
    <xf numFmtId="0" fontId="92" fillId="25" borderId="16" xfId="0" applyFont="1" applyFill="1" applyBorder="1" applyAlignment="1">
      <alignment horizontal="center"/>
    </xf>
    <xf numFmtId="0" fontId="116" fillId="25" borderId="16" xfId="0" applyFont="1" applyFill="1" applyBorder="1" applyAlignment="1"/>
    <xf numFmtId="0" fontId="123" fillId="0" borderId="0" xfId="0" applyFont="1"/>
    <xf numFmtId="0" fontId="123" fillId="0" borderId="0" xfId="0" applyFont="1" applyAlignment="1"/>
    <xf numFmtId="0" fontId="123" fillId="0" borderId="17" xfId="0" applyFont="1" applyBorder="1"/>
    <xf numFmtId="0" fontId="123" fillId="0" borderId="0" xfId="0" applyFont="1" applyBorder="1"/>
    <xf numFmtId="0" fontId="123" fillId="0" borderId="0" xfId="0" applyFont="1" applyBorder="1" applyAlignment="1">
      <alignment shrinkToFit="1"/>
    </xf>
    <xf numFmtId="0" fontId="123" fillId="0" borderId="0" xfId="0" applyFont="1" applyAlignment="1">
      <alignment horizontal="center"/>
    </xf>
    <xf numFmtId="0" fontId="123" fillId="0" borderId="0" xfId="0" applyFont="1" applyAlignment="1">
      <alignment horizontal="left"/>
    </xf>
    <xf numFmtId="0" fontId="123" fillId="0" borderId="17" xfId="0" applyFont="1" applyBorder="1" applyAlignment="1">
      <alignment horizontal="center" shrinkToFit="1"/>
    </xf>
    <xf numFmtId="0" fontId="123" fillId="0" borderId="17" xfId="0" applyFont="1" applyBorder="1" applyAlignment="1">
      <alignment shrinkToFit="1"/>
    </xf>
    <xf numFmtId="0" fontId="126" fillId="0" borderId="0" xfId="0" applyFont="1"/>
    <xf numFmtId="181" fontId="123" fillId="0" borderId="0" xfId="0" applyNumberFormat="1" applyFont="1"/>
    <xf numFmtId="49" fontId="17" fillId="30" borderId="29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0" xfId="81"/>
    <xf numFmtId="0" fontId="129" fillId="0" borderId="0" xfId="81" applyFont="1"/>
    <xf numFmtId="0" fontId="5" fillId="0" borderId="0" xfId="81" applyFill="1"/>
    <xf numFmtId="0" fontId="130" fillId="0" borderId="0" xfId="81" applyFont="1"/>
    <xf numFmtId="0" fontId="131" fillId="0" borderId="0" xfId="81" applyFont="1"/>
    <xf numFmtId="0" fontId="130" fillId="0" borderId="0" xfId="81" applyFont="1" applyFill="1"/>
    <xf numFmtId="0" fontId="129" fillId="0" borderId="71" xfId="81" applyFont="1" applyBorder="1"/>
    <xf numFmtId="0" fontId="129" fillId="0" borderId="71" xfId="81" applyFont="1" applyBorder="1" applyAlignment="1">
      <alignment horizontal="left"/>
    </xf>
    <xf numFmtId="183" fontId="130" fillId="0" borderId="72" xfId="81" applyNumberFormat="1" applyFont="1" applyBorder="1" applyAlignment="1">
      <alignment horizontal="center"/>
    </xf>
    <xf numFmtId="181" fontId="8" fillId="30" borderId="29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72" xfId="81" applyNumberFormat="1" applyFont="1" applyBorder="1"/>
    <xf numFmtId="49" fontId="130" fillId="0" borderId="72" xfId="81" applyNumberFormat="1" applyFont="1" applyBorder="1" applyAlignment="1">
      <alignment horizontal="center"/>
    </xf>
    <xf numFmtId="49" fontId="130" fillId="0" borderId="67" xfId="81" applyNumberFormat="1" applyFont="1" applyBorder="1"/>
    <xf numFmtId="2" fontId="19" fillId="35" borderId="49" xfId="76" quotePrefix="1" applyNumberFormat="1" applyFont="1" applyFill="1" applyBorder="1" applyAlignment="1" applyProtection="1">
      <alignment horizontal="center" vertical="center"/>
    </xf>
    <xf numFmtId="49" fontId="49" fillId="0" borderId="11" xfId="0" applyNumberFormat="1" applyFont="1" applyFill="1" applyBorder="1" applyAlignment="1">
      <alignment horizontal="left" vertical="center"/>
    </xf>
    <xf numFmtId="0" fontId="18" fillId="0" borderId="15" xfId="0" applyFont="1" applyFill="1" applyBorder="1" applyAlignment="1">
      <alignment vertical="center"/>
    </xf>
    <xf numFmtId="0" fontId="18" fillId="0" borderId="33" xfId="0" applyFont="1" applyFill="1" applyBorder="1" applyAlignment="1">
      <alignment vertical="center"/>
    </xf>
    <xf numFmtId="0" fontId="18" fillId="0" borderId="76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33" fillId="0" borderId="34" xfId="0" applyNumberFormat="1" applyFont="1" applyFill="1" applyBorder="1" applyAlignment="1">
      <alignment horizontal="left" vertical="center"/>
    </xf>
    <xf numFmtId="0" fontId="133" fillId="0" borderId="76" xfId="0" applyNumberFormat="1" applyFont="1" applyFill="1" applyBorder="1" applyAlignment="1">
      <alignment horizontal="left" vertical="center"/>
    </xf>
    <xf numFmtId="0" fontId="133" fillId="0" borderId="0" xfId="0" applyNumberFormat="1" applyFont="1" applyFill="1" applyBorder="1" applyAlignment="1">
      <alignment horizontal="left" vertical="center"/>
    </xf>
    <xf numFmtId="0" fontId="104" fillId="25" borderId="0" xfId="0" applyFont="1" applyFill="1" applyAlignment="1"/>
    <xf numFmtId="49" fontId="60" fillId="0" borderId="0" xfId="0" applyNumberFormat="1" applyFont="1" applyFill="1" applyBorder="1" applyAlignment="1"/>
    <xf numFmtId="49" fontId="110" fillId="0" borderId="0" xfId="0" applyNumberFormat="1" applyFont="1" applyFill="1" applyBorder="1" applyAlignment="1"/>
    <xf numFmtId="0" fontId="49" fillId="0" borderId="12" xfId="0" applyFont="1" applyFill="1" applyBorder="1" applyAlignment="1"/>
    <xf numFmtId="2" fontId="19" fillId="35" borderId="0" xfId="76" quotePrefix="1" applyNumberFormat="1" applyFont="1" applyFill="1" applyBorder="1" applyAlignment="1" applyProtection="1">
      <alignment horizontal="center" vertical="center"/>
    </xf>
    <xf numFmtId="171" fontId="8" fillId="36" borderId="29" xfId="0" applyNumberFormat="1" applyFont="1" applyFill="1" applyBorder="1" applyAlignment="1" applyProtection="1">
      <alignment horizontal="center" vertical="center" wrapText="1"/>
      <protection locked="0"/>
    </xf>
    <xf numFmtId="181" fontId="8" fillId="36" borderId="29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72" xfId="81" applyNumberFormat="1" applyFont="1" applyBorder="1" applyAlignment="1">
      <alignment horizontal="center" vertical="top"/>
    </xf>
    <xf numFmtId="171" fontId="8" fillId="36" borderId="29" xfId="0" applyNumberFormat="1" applyFont="1" applyFill="1" applyBorder="1" applyAlignment="1" applyProtection="1">
      <alignment horizontal="center" vertical="center" shrinkToFit="1"/>
      <protection locked="0"/>
    </xf>
    <xf numFmtId="49" fontId="8" fillId="36" borderId="29" xfId="0" applyNumberFormat="1" applyFont="1" applyFill="1" applyBorder="1" applyAlignment="1" applyProtection="1">
      <alignment horizontal="center" vertical="center" shrinkToFit="1"/>
      <protection locked="0"/>
    </xf>
    <xf numFmtId="49" fontId="8" fillId="36" borderId="29" xfId="0" applyNumberFormat="1" applyFont="1" applyFill="1" applyBorder="1" applyAlignment="1" applyProtection="1">
      <alignment vertical="center" shrinkToFit="1"/>
      <protection locked="0"/>
    </xf>
    <xf numFmtId="171" fontId="15" fillId="36" borderId="29" xfId="0" applyNumberFormat="1" applyFont="1" applyFill="1" applyBorder="1" applyAlignment="1" applyProtection="1">
      <alignment horizontal="center" vertical="center" shrinkToFit="1"/>
      <protection locked="0"/>
    </xf>
    <xf numFmtId="0" fontId="123" fillId="0" borderId="17" xfId="0" applyFont="1" applyBorder="1" applyAlignment="1">
      <alignment horizontal="center" vertical="center" shrinkToFit="1"/>
    </xf>
    <xf numFmtId="0" fontId="104" fillId="0" borderId="0" xfId="76"/>
    <xf numFmtId="0" fontId="49" fillId="0" borderId="0" xfId="76" applyFont="1"/>
    <xf numFmtId="0" fontId="49" fillId="0" borderId="73" xfId="76" applyFont="1" applyBorder="1" applyAlignment="1">
      <alignment horizontal="center" vertical="center"/>
    </xf>
    <xf numFmtId="0" fontId="49" fillId="0" borderId="73" xfId="76" applyFont="1" applyBorder="1" applyAlignment="1">
      <alignment horizontal="center" vertical="center" wrapText="1"/>
    </xf>
    <xf numFmtId="0" fontId="106" fillId="0" borderId="73" xfId="76" applyFont="1" applyBorder="1" applyAlignment="1">
      <alignment horizontal="center" vertical="center" wrapText="1"/>
    </xf>
    <xf numFmtId="0" fontId="104" fillId="0" borderId="0" xfId="76" applyAlignment="1">
      <alignment vertical="center"/>
    </xf>
    <xf numFmtId="0" fontId="49" fillId="0" borderId="73" xfId="76" applyFont="1" applyBorder="1" applyAlignment="1">
      <alignment vertical="center"/>
    </xf>
    <xf numFmtId="0" fontId="136" fillId="0" borderId="73" xfId="76" applyFont="1" applyBorder="1" applyAlignment="1">
      <alignment horizontal="center" vertical="center"/>
    </xf>
    <xf numFmtId="0" fontId="50" fillId="0" borderId="0" xfId="76" quotePrefix="1" applyFont="1"/>
    <xf numFmtId="49" fontId="8" fillId="36" borderId="29" xfId="0" applyNumberFormat="1" applyFont="1" applyFill="1" applyBorder="1" applyAlignment="1" applyProtection="1">
      <alignment horizontal="center" vertical="center" wrapText="1"/>
      <protection locked="0"/>
    </xf>
    <xf numFmtId="0" fontId="130" fillId="32" borderId="101" xfId="81" applyFont="1" applyFill="1" applyBorder="1"/>
    <xf numFmtId="0" fontId="130" fillId="0" borderId="101" xfId="81" applyFont="1" applyFill="1" applyBorder="1" applyAlignment="1">
      <alignment horizontal="center"/>
    </xf>
    <xf numFmtId="178" fontId="0" fillId="0" borderId="27" xfId="0" applyNumberFormat="1" applyFont="1" applyFill="1" applyBorder="1" applyAlignment="1" applyProtection="1">
      <alignment horizontal="right" vertical="center"/>
      <protection locked="0"/>
    </xf>
    <xf numFmtId="1" fontId="0" fillId="0" borderId="27" xfId="0" applyNumberFormat="1" applyFont="1" applyFill="1" applyBorder="1" applyAlignment="1" applyProtection="1">
      <alignment horizontal="right" vertical="center"/>
      <protection locked="0"/>
    </xf>
    <xf numFmtId="0" fontId="0" fillId="0" borderId="27" xfId="0" applyNumberFormat="1" applyFont="1" applyFill="1" applyBorder="1" applyAlignment="1" applyProtection="1">
      <alignment horizontal="right" vertical="center"/>
      <protection locked="0"/>
    </xf>
    <xf numFmtId="1" fontId="118" fillId="32" borderId="27" xfId="76" quotePrefix="1" applyNumberFormat="1" applyFont="1" applyFill="1" applyBorder="1" applyAlignment="1" applyProtection="1">
      <alignment horizontal="center" vertical="center"/>
      <protection locked="0"/>
    </xf>
    <xf numFmtId="0" fontId="27" fillId="25" borderId="16" xfId="0" applyFont="1" applyFill="1" applyBorder="1" applyAlignment="1">
      <alignment horizontal="left" vertical="center"/>
    </xf>
    <xf numFmtId="0" fontId="92" fillId="25" borderId="16" xfId="0" applyFont="1" applyFill="1" applyBorder="1" applyAlignment="1">
      <alignment horizontal="center" vertical="center"/>
    </xf>
    <xf numFmtId="0" fontId="21" fillId="0" borderId="17" xfId="0" applyNumberFormat="1" applyFont="1" applyBorder="1" applyAlignment="1">
      <alignment horizontal="center" shrinkToFit="1"/>
    </xf>
    <xf numFmtId="0" fontId="125" fillId="0" borderId="15" xfId="0" applyNumberFormat="1" applyFont="1" applyBorder="1" applyAlignment="1">
      <alignment horizontal="center" shrinkToFit="1"/>
    </xf>
    <xf numFmtId="0" fontId="8" fillId="25" borderId="0" xfId="69" applyFont="1" applyFill="1" applyProtection="1"/>
    <xf numFmtId="0" fontId="62" fillId="25" borderId="17" xfId="69" applyFont="1" applyFill="1" applyBorder="1" applyAlignment="1" applyProtection="1">
      <alignment vertical="center"/>
    </xf>
    <xf numFmtId="0" fontId="62" fillId="25" borderId="17" xfId="69" applyNumberFormat="1" applyFont="1" applyFill="1" applyBorder="1" applyAlignment="1" applyProtection="1">
      <alignment vertical="center"/>
    </xf>
    <xf numFmtId="0" fontId="19" fillId="25" borderId="0" xfId="69" applyFont="1" applyFill="1" applyAlignment="1" applyProtection="1">
      <alignment horizontal="center" vertical="center"/>
    </xf>
    <xf numFmtId="0" fontId="8" fillId="25" borderId="0" xfId="69" applyFont="1" applyFill="1" applyAlignment="1" applyProtection="1">
      <alignment horizontal="center" vertical="center"/>
    </xf>
    <xf numFmtId="0" fontId="25" fillId="25" borderId="15" xfId="69" applyNumberFormat="1" applyFont="1" applyFill="1" applyBorder="1" applyAlignment="1" applyProtection="1">
      <alignment horizontal="center" vertical="center"/>
    </xf>
    <xf numFmtId="0" fontId="25" fillId="25" borderId="15" xfId="69" applyNumberFormat="1" applyFont="1" applyFill="1" applyBorder="1" applyAlignment="1" applyProtection="1"/>
    <xf numFmtId="0" fontId="25" fillId="25" borderId="15" xfId="69" applyNumberFormat="1" applyFont="1" applyFill="1" applyBorder="1" applyAlignment="1" applyProtection="1">
      <alignment horizontal="left" indent="1" shrinkToFit="1"/>
    </xf>
    <xf numFmtId="0" fontId="25" fillId="25" borderId="15" xfId="69" applyFont="1" applyFill="1" applyBorder="1" applyAlignment="1" applyProtection="1">
      <alignment horizontal="left" indent="1" shrinkToFit="1"/>
    </xf>
    <xf numFmtId="0" fontId="17" fillId="25" borderId="0" xfId="69" applyFont="1" applyFill="1" applyProtection="1"/>
    <xf numFmtId="0" fontId="120" fillId="25" borderId="0" xfId="69" applyFont="1" applyFill="1" applyBorder="1" applyAlignment="1" applyProtection="1">
      <alignment horizontal="center" vertical="center"/>
    </xf>
    <xf numFmtId="0" fontId="24" fillId="25" borderId="0" xfId="69" applyFont="1" applyFill="1" applyBorder="1" applyProtection="1"/>
    <xf numFmtId="0" fontId="24" fillId="25" borderId="0" xfId="69" applyFont="1" applyFill="1" applyProtection="1"/>
    <xf numFmtId="0" fontId="24" fillId="25" borderId="0" xfId="69" applyNumberFormat="1" applyFont="1" applyFill="1" applyProtection="1"/>
    <xf numFmtId="17" fontId="24" fillId="25" borderId="0" xfId="69" applyNumberFormat="1" applyFont="1" applyFill="1" applyProtection="1"/>
    <xf numFmtId="171" fontId="24" fillId="25" borderId="0" xfId="69" applyNumberFormat="1" applyFont="1" applyFill="1" applyAlignment="1" applyProtection="1">
      <alignment horizontal="center"/>
    </xf>
    <xf numFmtId="0" fontId="24" fillId="25" borderId="10" xfId="69" applyFont="1" applyFill="1" applyBorder="1" applyProtection="1"/>
    <xf numFmtId="2" fontId="139" fillId="25" borderId="34" xfId="69" applyNumberFormat="1" applyFont="1" applyFill="1" applyBorder="1" applyAlignment="1" applyProtection="1">
      <alignment horizontal="center" vertical="center" shrinkToFit="1"/>
    </xf>
    <xf numFmtId="0" fontId="139" fillId="25" borderId="34" xfId="69" applyNumberFormat="1" applyFont="1" applyFill="1" applyBorder="1" applyAlignment="1" applyProtection="1">
      <alignment horizontal="center" vertical="center"/>
    </xf>
    <xf numFmtId="0" fontId="141" fillId="26" borderId="9" xfId="69" applyFont="1" applyFill="1" applyBorder="1" applyAlignment="1" applyProtection="1">
      <alignment horizontal="center" vertical="center"/>
    </xf>
    <xf numFmtId="0" fontId="19" fillId="25" borderId="0" xfId="76" applyFont="1" applyFill="1" applyBorder="1" applyAlignment="1" applyProtection="1">
      <alignment horizontal="center" vertical="center"/>
    </xf>
    <xf numFmtId="0" fontId="19" fillId="25" borderId="0" xfId="76" applyFont="1" applyFill="1" applyBorder="1" applyAlignment="1" applyProtection="1">
      <alignment horizontal="center" vertical="center" wrapText="1"/>
    </xf>
    <xf numFmtId="0" fontId="19" fillId="25" borderId="0" xfId="76" applyFont="1" applyFill="1" applyBorder="1" applyAlignment="1" applyProtection="1">
      <alignment vertical="center"/>
    </xf>
    <xf numFmtId="171" fontId="19" fillId="25" borderId="0" xfId="76" applyNumberFormat="1" applyFont="1" applyFill="1" applyBorder="1" applyAlignment="1" applyProtection="1">
      <alignment horizontal="center" vertical="center"/>
    </xf>
    <xf numFmtId="0" fontId="19" fillId="25" borderId="0" xfId="76" applyNumberFormat="1" applyFont="1" applyFill="1" applyBorder="1" applyAlignment="1" applyProtection="1">
      <alignment horizontal="center" vertical="center" wrapText="1"/>
    </xf>
    <xf numFmtId="0" fontId="8" fillId="25" borderId="0" xfId="76" applyFont="1" applyFill="1" applyProtection="1"/>
    <xf numFmtId="0" fontId="65" fillId="25" borderId="17" xfId="76" applyFont="1" applyFill="1" applyBorder="1" applyAlignment="1" applyProtection="1">
      <alignment horizontal="center" vertical="center"/>
    </xf>
    <xf numFmtId="0" fontId="65" fillId="25" borderId="17" xfId="76" applyFont="1" applyFill="1" applyBorder="1" applyAlignment="1" applyProtection="1">
      <alignment horizontal="center" vertical="center" wrapText="1"/>
    </xf>
    <xf numFmtId="0" fontId="65" fillId="25" borderId="17" xfId="76" applyFont="1" applyFill="1" applyBorder="1" applyAlignment="1" applyProtection="1">
      <alignment vertical="center"/>
    </xf>
    <xf numFmtId="171" fontId="65" fillId="25" borderId="17" xfId="76" applyNumberFormat="1" applyFont="1" applyFill="1" applyBorder="1" applyAlignment="1" applyProtection="1">
      <alignment horizontal="center" vertical="center"/>
    </xf>
    <xf numFmtId="171" fontId="57" fillId="25" borderId="17" xfId="76" applyNumberFormat="1" applyFont="1" applyFill="1" applyBorder="1" applyAlignment="1" applyProtection="1">
      <alignment horizontal="center" vertical="center"/>
    </xf>
    <xf numFmtId="0" fontId="57" fillId="25" borderId="17" xfId="76" applyNumberFormat="1" applyFont="1" applyFill="1" applyBorder="1" applyAlignment="1" applyProtection="1">
      <alignment horizontal="center" vertical="center" wrapText="1"/>
    </xf>
    <xf numFmtId="0" fontId="57" fillId="25" borderId="17" xfId="76" applyFont="1" applyFill="1" applyBorder="1" applyAlignment="1" applyProtection="1">
      <alignment horizontal="center" vertical="center" wrapText="1"/>
    </xf>
    <xf numFmtId="0" fontId="8" fillId="25" borderId="0" xfId="76" applyFont="1" applyFill="1" applyAlignment="1" applyProtection="1">
      <alignment horizontal="center" vertical="center"/>
    </xf>
    <xf numFmtId="0" fontId="57" fillId="25" borderId="77" xfId="76" applyNumberFormat="1" applyFont="1" applyFill="1" applyBorder="1" applyAlignment="1" applyProtection="1">
      <alignment horizontal="center" vertical="center"/>
    </xf>
    <xf numFmtId="0" fontId="57" fillId="25" borderId="77" xfId="76" applyNumberFormat="1" applyFont="1" applyFill="1" applyBorder="1" applyAlignment="1" applyProtection="1">
      <alignment horizontal="center" vertical="center" wrapText="1"/>
    </xf>
    <xf numFmtId="171" fontId="57" fillId="25" borderId="77" xfId="76" applyNumberFormat="1" applyFont="1" applyFill="1" applyBorder="1" applyAlignment="1" applyProtection="1">
      <alignment horizontal="center" vertical="center"/>
    </xf>
    <xf numFmtId="171" fontId="57" fillId="25" borderId="77" xfId="76" applyNumberFormat="1" applyFont="1" applyFill="1" applyBorder="1" applyAlignment="1" applyProtection="1">
      <alignment horizontal="center" vertical="center" shrinkToFit="1"/>
    </xf>
    <xf numFmtId="0" fontId="57" fillId="25" borderId="77" xfId="76" applyNumberFormat="1" applyFont="1" applyFill="1" applyBorder="1" applyAlignment="1" applyProtection="1">
      <alignment horizontal="center" vertical="center" wrapText="1" shrinkToFit="1"/>
    </xf>
    <xf numFmtId="0" fontId="57" fillId="25" borderId="77" xfId="76" applyFont="1" applyFill="1" applyBorder="1" applyAlignment="1" applyProtection="1">
      <alignment horizontal="center" vertical="center" wrapText="1" shrinkToFit="1"/>
    </xf>
    <xf numFmtId="0" fontId="17" fillId="25" borderId="0" xfId="0" applyFont="1" applyFill="1" applyProtection="1"/>
    <xf numFmtId="0" fontId="17" fillId="25" borderId="0" xfId="76" applyFont="1" applyFill="1" applyProtection="1"/>
    <xf numFmtId="0" fontId="57" fillId="25" borderId="0" xfId="76" applyFont="1" applyFill="1" applyBorder="1" applyAlignment="1" applyProtection="1">
      <alignment horizontal="center" vertical="center"/>
    </xf>
    <xf numFmtId="49" fontId="57" fillId="25" borderId="0" xfId="76" applyNumberFormat="1" applyFont="1" applyFill="1" applyBorder="1" applyAlignment="1" applyProtection="1">
      <alignment horizontal="center" vertical="center" wrapText="1"/>
    </xf>
    <xf numFmtId="0" fontId="17" fillId="34" borderId="0" xfId="76" applyFont="1" applyFill="1" applyBorder="1" applyAlignment="1" applyProtection="1">
      <alignment vertical="center"/>
    </xf>
    <xf numFmtId="0" fontId="19" fillId="34" borderId="0" xfId="76" applyFont="1" applyFill="1" applyBorder="1" applyAlignment="1" applyProtection="1">
      <alignment horizontal="center" vertical="center" wrapText="1"/>
    </xf>
    <xf numFmtId="0" fontId="19" fillId="34" borderId="0" xfId="76" applyFont="1" applyFill="1" applyBorder="1" applyAlignment="1" applyProtection="1">
      <alignment horizontal="center" vertical="center"/>
    </xf>
    <xf numFmtId="0" fontId="98" fillId="34" borderId="0" xfId="76" applyFont="1" applyFill="1" applyBorder="1" applyAlignment="1" applyProtection="1">
      <alignment horizontal="center" vertical="center" wrapText="1"/>
    </xf>
    <xf numFmtId="49" fontId="147" fillId="34" borderId="0" xfId="76" applyNumberFormat="1" applyFont="1" applyFill="1" applyBorder="1" applyAlignment="1" applyProtection="1">
      <alignment horizontal="center"/>
    </xf>
    <xf numFmtId="0" fontId="19" fillId="34" borderId="0" xfId="76" applyFont="1" applyFill="1" applyBorder="1" applyAlignment="1" applyProtection="1">
      <alignment horizontal="center" vertical="top" wrapText="1"/>
    </xf>
    <xf numFmtId="49" fontId="57" fillId="25" borderId="0" xfId="76" quotePrefix="1" applyNumberFormat="1" applyFont="1" applyFill="1" applyBorder="1" applyAlignment="1" applyProtection="1">
      <alignment horizontal="center" vertical="center" wrapText="1"/>
    </xf>
    <xf numFmtId="0" fontId="98" fillId="34" borderId="0" xfId="76" applyFont="1" applyFill="1" applyBorder="1" applyAlignment="1" applyProtection="1">
      <alignment vertical="center" wrapText="1"/>
    </xf>
    <xf numFmtId="0" fontId="57" fillId="25" borderId="0" xfId="76" applyFont="1" applyFill="1" applyBorder="1" applyAlignment="1" applyProtection="1">
      <alignment vertical="center"/>
    </xf>
    <xf numFmtId="171" fontId="19" fillId="25" borderId="0" xfId="51" applyNumberFormat="1" applyFont="1" applyFill="1" applyBorder="1" applyAlignment="1" applyProtection="1">
      <alignment horizontal="center" vertical="center"/>
    </xf>
    <xf numFmtId="0" fontId="57" fillId="25" borderId="0" xfId="76" applyNumberFormat="1" applyFont="1" applyFill="1" applyBorder="1" applyAlignment="1" applyProtection="1">
      <alignment horizontal="center" vertical="center" wrapText="1"/>
    </xf>
    <xf numFmtId="0" fontId="57" fillId="25" borderId="0" xfId="76" applyFont="1" applyFill="1" applyBorder="1" applyAlignment="1" applyProtection="1">
      <alignment horizontal="center" vertical="center" wrapText="1"/>
    </xf>
    <xf numFmtId="0" fontId="57" fillId="25" borderId="0" xfId="76" quotePrefix="1" applyFont="1" applyFill="1" applyBorder="1" applyAlignment="1" applyProtection="1">
      <alignment horizontal="center" vertical="center"/>
    </xf>
    <xf numFmtId="171" fontId="19" fillId="25" borderId="0" xfId="51" quotePrefix="1" applyNumberFormat="1" applyFont="1" applyFill="1" applyBorder="1" applyAlignment="1" applyProtection="1">
      <alignment horizontal="center" vertical="center"/>
    </xf>
    <xf numFmtId="0" fontId="57" fillId="25" borderId="22" xfId="76" quotePrefix="1" applyFont="1" applyFill="1" applyBorder="1" applyAlignment="1" applyProtection="1">
      <alignment horizontal="center" vertical="center"/>
    </xf>
    <xf numFmtId="0" fontId="57" fillId="25" borderId="32" xfId="76" applyFont="1" applyFill="1" applyBorder="1" applyAlignment="1" applyProtection="1">
      <alignment horizontal="center" vertical="center" wrapText="1"/>
    </xf>
    <xf numFmtId="0" fontId="57" fillId="25" borderId="32" xfId="76" applyFont="1" applyFill="1" applyBorder="1" applyAlignment="1" applyProtection="1">
      <alignment vertical="center"/>
    </xf>
    <xf numFmtId="171" fontId="19" fillId="25" borderId="22" xfId="51" applyNumberFormat="1" applyFont="1" applyFill="1" applyBorder="1" applyAlignment="1" applyProtection="1">
      <alignment horizontal="center" vertical="center"/>
    </xf>
    <xf numFmtId="0" fontId="57" fillId="25" borderId="38" xfId="76" applyNumberFormat="1" applyFont="1" applyFill="1" applyBorder="1" applyAlignment="1" applyProtection="1">
      <alignment horizontal="center" vertical="center" wrapText="1"/>
    </xf>
    <xf numFmtId="0" fontId="57" fillId="25" borderId="22" xfId="76" applyFont="1" applyFill="1" applyBorder="1" applyAlignment="1" applyProtection="1">
      <alignment horizontal="center" vertical="center" wrapText="1"/>
    </xf>
    <xf numFmtId="0" fontId="57" fillId="25" borderId="29" xfId="76" quotePrefix="1" applyFont="1" applyFill="1" applyBorder="1" applyAlignment="1" applyProtection="1">
      <alignment horizontal="center" vertical="center"/>
    </xf>
    <xf numFmtId="0" fontId="57" fillId="25" borderId="30" xfId="76" applyFont="1" applyFill="1" applyBorder="1" applyAlignment="1" applyProtection="1">
      <alignment horizontal="center" vertical="center" wrapText="1"/>
    </xf>
    <xf numFmtId="0" fontId="57" fillId="25" borderId="30" xfId="76" applyFont="1" applyFill="1" applyBorder="1" applyAlignment="1" applyProtection="1">
      <alignment vertical="center"/>
    </xf>
    <xf numFmtId="171" fontId="19" fillId="25" borderId="29" xfId="51" applyNumberFormat="1" applyFont="1" applyFill="1" applyBorder="1" applyAlignment="1" applyProtection="1">
      <alignment horizontal="center" vertical="center"/>
    </xf>
    <xf numFmtId="0" fontId="57" fillId="25" borderId="28" xfId="76" applyNumberFormat="1" applyFont="1" applyFill="1" applyBorder="1" applyAlignment="1" applyProtection="1">
      <alignment horizontal="center" vertical="center" wrapText="1"/>
    </xf>
    <xf numFmtId="0" fontId="57" fillId="25" borderId="29" xfId="76" applyFont="1" applyFill="1" applyBorder="1" applyAlignment="1" applyProtection="1">
      <alignment horizontal="center" vertical="center" wrapText="1"/>
    </xf>
    <xf numFmtId="0" fontId="57" fillId="25" borderId="27" xfId="76" quotePrefix="1" applyFont="1" applyFill="1" applyBorder="1" applyAlignment="1" applyProtection="1">
      <alignment horizontal="center" vertical="center"/>
    </xf>
    <xf numFmtId="171" fontId="19" fillId="25" borderId="42" xfId="51" applyNumberFormat="1" applyFont="1" applyFill="1" applyBorder="1" applyAlignment="1" applyProtection="1">
      <alignment horizontal="center" vertical="center"/>
    </xf>
    <xf numFmtId="0" fontId="57" fillId="25" borderId="30" xfId="76" applyFont="1" applyFill="1" applyBorder="1" applyAlignment="1" applyProtection="1">
      <alignment vertical="center" wrapText="1"/>
    </xf>
    <xf numFmtId="0" fontId="57" fillId="25" borderId="28" xfId="76" applyFont="1" applyFill="1" applyBorder="1" applyAlignment="1" applyProtection="1">
      <alignment vertical="center"/>
    </xf>
    <xf numFmtId="171" fontId="57" fillId="25" borderId="30" xfId="76" applyNumberFormat="1" applyFont="1" applyFill="1" applyBorder="1" applyAlignment="1" applyProtection="1">
      <alignment horizontal="center" vertical="center"/>
    </xf>
    <xf numFmtId="171" fontId="57" fillId="25" borderId="29" xfId="76" applyNumberFormat="1" applyFont="1" applyFill="1" applyBorder="1" applyAlignment="1" applyProtection="1">
      <alignment horizontal="center" vertical="center"/>
    </xf>
    <xf numFmtId="0" fontId="57" fillId="25" borderId="29" xfId="76" applyNumberFormat="1" applyFont="1" applyFill="1" applyBorder="1" applyAlignment="1" applyProtection="1">
      <alignment horizontal="center" vertical="center" wrapText="1"/>
    </xf>
    <xf numFmtId="171" fontId="57" fillId="25" borderId="27" xfId="76" applyNumberFormat="1" applyFont="1" applyFill="1" applyBorder="1" applyAlignment="1" applyProtection="1">
      <alignment horizontal="center" vertical="center"/>
    </xf>
    <xf numFmtId="0" fontId="57" fillId="25" borderId="27" xfId="76" applyFont="1" applyFill="1" applyBorder="1" applyAlignment="1" applyProtection="1">
      <alignment horizontal="center" vertical="center"/>
    </xf>
    <xf numFmtId="171" fontId="19" fillId="25" borderId="27" xfId="51" applyNumberFormat="1" applyFont="1" applyFill="1" applyBorder="1" applyAlignment="1" applyProtection="1">
      <alignment horizontal="center" vertical="center"/>
    </xf>
    <xf numFmtId="0" fontId="8" fillId="0" borderId="0" xfId="76" applyFont="1" applyAlignment="1" applyProtection="1">
      <alignment horizontal="center" vertical="center" wrapText="1"/>
    </xf>
    <xf numFmtId="0" fontId="57" fillId="0" borderId="30" xfId="76" applyFont="1" applyFill="1" applyBorder="1" applyAlignment="1" applyProtection="1">
      <alignment horizontal="center" vertical="center" wrapText="1"/>
    </xf>
    <xf numFmtId="0" fontId="57" fillId="0" borderId="28" xfId="76" applyFont="1" applyFill="1" applyBorder="1" applyAlignment="1" applyProtection="1">
      <alignment vertical="center"/>
    </xf>
    <xf numFmtId="171" fontId="57" fillId="0" borderId="30" xfId="76" applyNumberFormat="1" applyFont="1" applyFill="1" applyBorder="1" applyAlignment="1" applyProtection="1">
      <alignment horizontal="center" vertical="center"/>
    </xf>
    <xf numFmtId="171" fontId="57" fillId="0" borderId="29" xfId="76" applyNumberFormat="1" applyFont="1" applyFill="1" applyBorder="1" applyAlignment="1" applyProtection="1">
      <alignment horizontal="center" vertical="center"/>
    </xf>
    <xf numFmtId="0" fontId="57" fillId="0" borderId="29" xfId="76" applyNumberFormat="1" applyFont="1" applyFill="1" applyBorder="1" applyAlignment="1" applyProtection="1">
      <alignment horizontal="center" vertical="center" wrapText="1"/>
    </xf>
    <xf numFmtId="0" fontId="57" fillId="0" borderId="29" xfId="76" applyFont="1" applyFill="1" applyBorder="1" applyAlignment="1" applyProtection="1">
      <alignment horizontal="center" vertical="center" wrapText="1"/>
    </xf>
    <xf numFmtId="15" fontId="8" fillId="25" borderId="0" xfId="76" applyNumberFormat="1" applyFont="1" applyFill="1" applyAlignment="1" applyProtection="1">
      <alignment horizontal="left"/>
    </xf>
    <xf numFmtId="15" fontId="19" fillId="0" borderId="29" xfId="76" applyNumberFormat="1" applyFont="1" applyBorder="1" applyAlignment="1" applyProtection="1">
      <alignment horizontal="center" vertical="center" wrapText="1"/>
    </xf>
    <xf numFmtId="0" fontId="19" fillId="0" borderId="29" xfId="76" applyFont="1" applyBorder="1" applyAlignment="1" applyProtection="1">
      <alignment horizontal="center" vertical="center"/>
    </xf>
    <xf numFmtId="0" fontId="19" fillId="0" borderId="29" xfId="76" applyFont="1" applyBorder="1" applyAlignment="1" applyProtection="1">
      <alignment horizontal="center" vertical="center" wrapText="1"/>
    </xf>
    <xf numFmtId="0" fontId="57" fillId="25" borderId="29" xfId="76" quotePrefix="1" applyFont="1" applyFill="1" applyBorder="1" applyAlignment="1" applyProtection="1">
      <alignment horizontal="center" vertical="center" wrapText="1"/>
    </xf>
    <xf numFmtId="0" fontId="57" fillId="25" borderId="30" xfId="76" quotePrefix="1" applyFont="1" applyFill="1" applyBorder="1" applyAlignment="1" applyProtection="1">
      <alignment horizontal="center" vertical="center" wrapText="1"/>
    </xf>
    <xf numFmtId="0" fontId="57" fillId="25" borderId="28" xfId="76" quotePrefix="1" applyFont="1" applyFill="1" applyBorder="1" applyAlignment="1" applyProtection="1">
      <alignment vertical="center"/>
    </xf>
    <xf numFmtId="0" fontId="57" fillId="25" borderId="39" xfId="76" applyFont="1" applyFill="1" applyBorder="1" applyAlignment="1" applyProtection="1">
      <alignment horizontal="center" vertical="center"/>
    </xf>
    <xf numFmtId="0" fontId="57" fillId="25" borderId="40" xfId="76" applyFont="1" applyFill="1" applyBorder="1" applyAlignment="1" applyProtection="1">
      <alignment horizontal="center" vertical="center" wrapText="1"/>
    </xf>
    <xf numFmtId="0" fontId="57" fillId="25" borderId="41" xfId="76" applyFont="1" applyFill="1" applyBorder="1" applyAlignment="1" applyProtection="1">
      <alignment vertical="center"/>
    </xf>
    <xf numFmtId="171" fontId="57" fillId="25" borderId="40" xfId="76" applyNumberFormat="1" applyFont="1" applyFill="1" applyBorder="1" applyAlignment="1" applyProtection="1">
      <alignment horizontal="center" vertical="center"/>
    </xf>
    <xf numFmtId="171" fontId="57" fillId="25" borderId="42" xfId="76" applyNumberFormat="1" applyFont="1" applyFill="1" applyBorder="1" applyAlignment="1" applyProtection="1">
      <alignment horizontal="center" vertical="center"/>
    </xf>
    <xf numFmtId="0" fontId="57" fillId="25" borderId="42" xfId="76" applyNumberFormat="1" applyFont="1" applyFill="1" applyBorder="1" applyAlignment="1" applyProtection="1">
      <alignment horizontal="center" vertical="center" wrapText="1"/>
    </xf>
    <xf numFmtId="0" fontId="57" fillId="25" borderId="42" xfId="76" applyFont="1" applyFill="1" applyBorder="1" applyAlignment="1" applyProtection="1">
      <alignment horizontal="center" vertical="center" wrapText="1"/>
    </xf>
    <xf numFmtId="0" fontId="57" fillId="25" borderId="10" xfId="76" applyFont="1" applyFill="1" applyBorder="1" applyAlignment="1" applyProtection="1">
      <alignment horizontal="center" vertical="center"/>
    </xf>
    <xf numFmtId="0" fontId="57" fillId="25" borderId="12" xfId="76" applyFont="1" applyFill="1" applyBorder="1" applyAlignment="1" applyProtection="1">
      <alignment vertical="center"/>
    </xf>
    <xf numFmtId="171" fontId="57" fillId="25" borderId="0" xfId="76" applyNumberFormat="1" applyFont="1" applyFill="1" applyAlignment="1" applyProtection="1">
      <alignment horizontal="center" vertical="center"/>
    </xf>
    <xf numFmtId="171" fontId="57" fillId="25" borderId="20" xfId="76" applyNumberFormat="1" applyFont="1" applyFill="1" applyBorder="1" applyAlignment="1" applyProtection="1">
      <alignment horizontal="center" vertical="center"/>
    </xf>
    <xf numFmtId="0" fontId="57" fillId="25" borderId="20" xfId="76" applyNumberFormat="1" applyFont="1" applyFill="1" applyBorder="1" applyAlignment="1" applyProtection="1">
      <alignment horizontal="center" vertical="center" wrapText="1"/>
    </xf>
    <xf numFmtId="0" fontId="57" fillId="25" borderId="20" xfId="76" applyFont="1" applyFill="1" applyBorder="1" applyAlignment="1" applyProtection="1">
      <alignment horizontal="center" vertical="center" wrapText="1"/>
    </xf>
    <xf numFmtId="0" fontId="57" fillId="25" borderId="22" xfId="76" applyFont="1" applyFill="1" applyBorder="1" applyAlignment="1" applyProtection="1">
      <alignment horizontal="center" vertical="center"/>
    </xf>
    <xf numFmtId="49" fontId="57" fillId="25" borderId="32" xfId="76" applyNumberFormat="1" applyFont="1" applyFill="1" applyBorder="1" applyAlignment="1" applyProtection="1">
      <alignment horizontal="center" vertical="center" wrapText="1"/>
    </xf>
    <xf numFmtId="0" fontId="17" fillId="34" borderId="81" xfId="76" applyFont="1" applyFill="1" applyBorder="1" applyAlignment="1" applyProtection="1">
      <alignment vertical="center"/>
    </xf>
    <xf numFmtId="0" fontId="19" fillId="34" borderId="82" xfId="76" applyFont="1" applyFill="1" applyBorder="1" applyAlignment="1" applyProtection="1">
      <alignment horizontal="center" vertical="center" wrapText="1"/>
    </xf>
    <xf numFmtId="0" fontId="19" fillId="34" borderId="82" xfId="76" applyFont="1" applyFill="1" applyBorder="1" applyAlignment="1" applyProtection="1">
      <alignment horizontal="center" vertical="center"/>
    </xf>
    <xf numFmtId="0" fontId="98" fillId="34" borderId="82" xfId="76" applyFont="1" applyFill="1" applyBorder="1" applyAlignment="1" applyProtection="1">
      <alignment horizontal="center" vertical="center" wrapText="1"/>
    </xf>
    <xf numFmtId="0" fontId="57" fillId="25" borderId="25" xfId="76" applyFont="1" applyFill="1" applyBorder="1" applyAlignment="1" applyProtection="1">
      <alignment horizontal="center" vertical="center"/>
    </xf>
    <xf numFmtId="49" fontId="57" fillId="25" borderId="30" xfId="76" quotePrefix="1" applyNumberFormat="1" applyFont="1" applyFill="1" applyBorder="1" applyAlignment="1" applyProtection="1">
      <alignment horizontal="center" vertical="center" wrapText="1"/>
    </xf>
    <xf numFmtId="0" fontId="17" fillId="34" borderId="46" xfId="76" applyFont="1" applyFill="1" applyBorder="1" applyAlignment="1" applyProtection="1">
      <alignment vertical="center"/>
    </xf>
    <xf numFmtId="0" fontId="19" fillId="34" borderId="47" xfId="76" applyFont="1" applyFill="1" applyBorder="1" applyAlignment="1" applyProtection="1">
      <alignment horizontal="center" vertical="center" wrapText="1"/>
    </xf>
    <xf numFmtId="0" fontId="19" fillId="34" borderId="47" xfId="76" applyFont="1" applyFill="1" applyBorder="1" applyAlignment="1" applyProtection="1">
      <alignment horizontal="center" vertical="center"/>
    </xf>
    <xf numFmtId="0" fontId="98" fillId="34" borderId="47" xfId="76" applyFont="1" applyFill="1" applyBorder="1" applyAlignment="1" applyProtection="1">
      <alignment horizontal="center" vertical="center" wrapText="1"/>
    </xf>
    <xf numFmtId="0" fontId="98" fillId="34" borderId="48" xfId="76" applyFont="1" applyFill="1" applyBorder="1" applyAlignment="1" applyProtection="1">
      <alignment vertical="center" wrapText="1"/>
    </xf>
    <xf numFmtId="0" fontId="19" fillId="34" borderId="49" xfId="76" applyFont="1" applyFill="1" applyBorder="1" applyAlignment="1" applyProtection="1">
      <alignment horizontal="center" vertical="center"/>
    </xf>
    <xf numFmtId="0" fontId="98" fillId="34" borderId="49" xfId="76" applyFont="1" applyFill="1" applyBorder="1" applyAlignment="1" applyProtection="1">
      <alignment horizontal="center" vertical="center" wrapText="1"/>
    </xf>
    <xf numFmtId="0" fontId="19" fillId="34" borderId="49" xfId="76" applyFont="1" applyFill="1" applyBorder="1" applyAlignment="1" applyProtection="1">
      <alignment horizontal="center" vertical="center" wrapText="1"/>
    </xf>
    <xf numFmtId="0" fontId="17" fillId="34" borderId="48" xfId="76" applyFont="1" applyFill="1" applyBorder="1" applyAlignment="1" applyProtection="1">
      <alignment vertical="center"/>
    </xf>
    <xf numFmtId="49" fontId="57" fillId="25" borderId="30" xfId="76" applyNumberFormat="1" applyFont="1" applyFill="1" applyBorder="1" applyAlignment="1" applyProtection="1">
      <alignment horizontal="center" vertical="center" wrapText="1"/>
    </xf>
    <xf numFmtId="0" fontId="98" fillId="34" borderId="50" xfId="76" applyFont="1" applyFill="1" applyBorder="1" applyAlignment="1" applyProtection="1">
      <alignment vertical="center" wrapText="1"/>
    </xf>
    <xf numFmtId="0" fontId="19" fillId="34" borderId="51" xfId="76" applyFont="1" applyFill="1" applyBorder="1" applyAlignment="1" applyProtection="1">
      <alignment horizontal="center" vertical="center"/>
    </xf>
    <xf numFmtId="0" fontId="19" fillId="34" borderId="51" xfId="76" applyFont="1" applyFill="1" applyBorder="1" applyAlignment="1" applyProtection="1">
      <alignment horizontal="center" vertical="center" wrapText="1"/>
    </xf>
    <xf numFmtId="171" fontId="19" fillId="25" borderId="29" xfId="51" quotePrefix="1" applyNumberFormat="1" applyFont="1" applyFill="1" applyBorder="1" applyAlignment="1" applyProtection="1">
      <alignment horizontal="center" vertical="center"/>
    </xf>
    <xf numFmtId="0" fontId="57" fillId="25" borderId="101" xfId="0" applyFont="1" applyFill="1" applyBorder="1" applyAlignment="1" applyProtection="1">
      <alignment horizontal="center" vertical="center"/>
      <protection locked="0"/>
    </xf>
    <xf numFmtId="49" fontId="57" fillId="25" borderId="101" xfId="0" applyNumberFormat="1" applyFont="1" applyFill="1" applyBorder="1" applyAlignment="1" applyProtection="1">
      <alignment horizontal="center" vertical="center" wrapText="1"/>
      <protection locked="0"/>
    </xf>
    <xf numFmtId="171" fontId="19" fillId="25" borderId="101" xfId="51" applyNumberFormat="1" applyFont="1" applyFill="1" applyBorder="1" applyAlignment="1" applyProtection="1">
      <alignment horizontal="center" vertical="center" wrapText="1"/>
      <protection locked="0"/>
    </xf>
    <xf numFmtId="171" fontId="19" fillId="0" borderId="101" xfId="51" applyNumberFormat="1" applyFont="1" applyFill="1" applyBorder="1" applyAlignment="1" applyProtection="1">
      <alignment horizontal="center" vertical="center" wrapText="1"/>
      <protection locked="0"/>
    </xf>
    <xf numFmtId="0" fontId="98" fillId="34" borderId="101" xfId="0" applyFont="1" applyFill="1" applyBorder="1" applyAlignment="1" applyProtection="1">
      <alignment horizontal="center" vertical="center" wrapText="1"/>
      <protection locked="0"/>
    </xf>
    <xf numFmtId="0" fontId="137" fillId="34" borderId="101" xfId="0" applyFont="1" applyFill="1" applyBorder="1" applyAlignment="1" applyProtection="1">
      <alignment horizontal="center" vertical="center" wrapText="1"/>
      <protection locked="0"/>
    </xf>
    <xf numFmtId="0" fontId="149" fillId="0" borderId="0" xfId="109"/>
    <xf numFmtId="0" fontId="151" fillId="0" borderId="71" xfId="109" applyFont="1" applyBorder="1" applyAlignment="1">
      <alignment horizontal="left" vertical="center" wrapText="1"/>
    </xf>
    <xf numFmtId="0" fontId="154" fillId="0" borderId="71" xfId="109" applyFont="1" applyBorder="1" applyAlignment="1">
      <alignment vertical="center" textRotation="180" wrapText="1"/>
    </xf>
    <xf numFmtId="0" fontId="154" fillId="0" borderId="112" xfId="109" applyFont="1" applyBorder="1" applyAlignment="1">
      <alignment vertical="center" textRotation="180" wrapText="1"/>
    </xf>
    <xf numFmtId="0" fontId="149" fillId="0" borderId="0" xfId="109" applyBorder="1"/>
    <xf numFmtId="0" fontId="155" fillId="0" borderId="0" xfId="109" applyFont="1" applyBorder="1" applyAlignment="1">
      <alignment horizontal="justify" vertical="center" wrapText="1"/>
    </xf>
    <xf numFmtId="0" fontId="149" fillId="0" borderId="56" xfId="109" applyBorder="1"/>
    <xf numFmtId="0" fontId="149" fillId="0" borderId="55" xfId="109" applyBorder="1" applyAlignment="1">
      <alignment vertical="center" wrapText="1"/>
    </xf>
    <xf numFmtId="0" fontId="149" fillId="0" borderId="0" xfId="109" applyBorder="1" applyAlignment="1">
      <alignment vertical="center" wrapText="1"/>
    </xf>
    <xf numFmtId="14" fontId="149" fillId="0" borderId="56" xfId="109" applyNumberFormat="1" applyBorder="1"/>
    <xf numFmtId="0" fontId="156" fillId="0" borderId="55" xfId="109" applyFont="1" applyBorder="1" applyAlignment="1">
      <alignment horizontal="justify" vertical="center"/>
    </xf>
    <xf numFmtId="0" fontId="149" fillId="0" borderId="55" xfId="109" applyBorder="1"/>
    <xf numFmtId="0" fontId="149" fillId="0" borderId="111" xfId="109" applyBorder="1"/>
    <xf numFmtId="0" fontId="149" fillId="0" borderId="114" xfId="109" applyBorder="1"/>
    <xf numFmtId="0" fontId="149" fillId="0" borderId="115" xfId="109" applyBorder="1"/>
    <xf numFmtId="0" fontId="157" fillId="0" borderId="0" xfId="109" applyFont="1" applyBorder="1" applyAlignment="1">
      <alignment horizontal="center" vertical="center" wrapText="1"/>
    </xf>
    <xf numFmtId="0" fontId="158" fillId="0" borderId="56" xfId="109" applyFont="1" applyBorder="1" applyAlignment="1">
      <alignment horizontal="left"/>
    </xf>
    <xf numFmtId="49" fontId="18" fillId="25" borderId="0" xfId="0" applyNumberFormat="1" applyFont="1" applyFill="1" applyAlignment="1" applyProtection="1">
      <alignment horizontal="center" vertical="center" shrinkToFit="1"/>
    </xf>
    <xf numFmtId="49" fontId="66" fillId="25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Fill="1" applyBorder="1" applyAlignment="1" applyProtection="1">
      <alignment horizontal="center" vertical="center" shrinkToFit="1"/>
    </xf>
    <xf numFmtId="49" fontId="8" fillId="0" borderId="0" xfId="0" applyNumberFormat="1" applyFont="1" applyFill="1" applyBorder="1" applyAlignment="1" applyProtection="1">
      <alignment horizontal="center" vertical="center" shrinkToFit="1"/>
    </xf>
    <xf numFmtId="49" fontId="8" fillId="25" borderId="0" xfId="0" applyNumberFormat="1" applyFont="1" applyFill="1" applyBorder="1" applyAlignment="1" applyProtection="1">
      <alignment horizontal="center" vertical="center" shrinkToFit="1"/>
    </xf>
    <xf numFmtId="49" fontId="18" fillId="0" borderId="0" xfId="0" applyNumberFormat="1" applyFont="1" applyFill="1" applyAlignment="1" applyProtection="1">
      <alignment horizontal="center" vertical="center" shrinkToFit="1"/>
    </xf>
    <xf numFmtId="0" fontId="18" fillId="0" borderId="0" xfId="0" applyNumberFormat="1" applyFont="1" applyFill="1" applyAlignment="1" applyProtection="1">
      <alignment vertical="center" shrinkToFit="1"/>
    </xf>
    <xf numFmtId="49" fontId="18" fillId="0" borderId="0" xfId="0" applyNumberFormat="1" applyFont="1" applyFill="1" applyAlignment="1" applyProtection="1">
      <alignment vertical="center" shrinkToFit="1"/>
    </xf>
    <xf numFmtId="171" fontId="18" fillId="0" borderId="0" xfId="0" applyNumberFormat="1" applyFont="1" applyFill="1" applyAlignment="1" applyProtection="1">
      <alignment horizontal="center" vertical="center" shrinkToFit="1"/>
    </xf>
    <xf numFmtId="171" fontId="56" fillId="0" borderId="0" xfId="0" applyNumberFormat="1" applyFont="1" applyFill="1" applyAlignment="1" applyProtection="1">
      <alignment horizontal="center" vertical="center" shrinkToFit="1"/>
    </xf>
    <xf numFmtId="171" fontId="31" fillId="0" borderId="0" xfId="0" applyNumberFormat="1" applyFont="1" applyFill="1" applyAlignment="1" applyProtection="1">
      <alignment horizontal="center" vertical="center" shrinkToFit="1"/>
    </xf>
    <xf numFmtId="177" fontId="18" fillId="0" borderId="0" xfId="0" applyNumberFormat="1" applyFont="1" applyFill="1" applyAlignment="1" applyProtection="1">
      <alignment horizontal="center" vertical="center" shrinkToFit="1"/>
    </xf>
    <xf numFmtId="171" fontId="8" fillId="30" borderId="29" xfId="0" applyNumberFormat="1" applyFont="1" applyFill="1" applyBorder="1" applyAlignment="1" applyProtection="1">
      <alignment vertical="center" shrinkToFit="1"/>
      <protection locked="0"/>
    </xf>
    <xf numFmtId="15" fontId="8" fillId="30" borderId="29" xfId="0" applyNumberFormat="1" applyFont="1" applyFill="1" applyBorder="1" applyAlignment="1" applyProtection="1">
      <alignment horizontal="center" vertical="center" wrapText="1"/>
      <protection locked="0"/>
    </xf>
    <xf numFmtId="49" fontId="8" fillId="36" borderId="29" xfId="76" applyNumberFormat="1" applyFont="1" applyFill="1" applyBorder="1" applyAlignment="1" applyProtection="1">
      <alignment horizontal="center" vertical="center" shrinkToFit="1"/>
      <protection locked="0"/>
    </xf>
    <xf numFmtId="171" fontId="8" fillId="36" borderId="29" xfId="0" applyNumberFormat="1" applyFont="1" applyFill="1" applyBorder="1" applyAlignment="1" applyProtection="1">
      <alignment vertical="center" shrinkToFit="1"/>
      <protection locked="0"/>
    </xf>
    <xf numFmtId="171" fontId="100" fillId="30" borderId="29" xfId="0" applyNumberFormat="1" applyFont="1" applyFill="1" applyBorder="1" applyAlignment="1" applyProtection="1">
      <alignment vertical="center" shrinkToFit="1"/>
      <protection locked="0"/>
    </xf>
    <xf numFmtId="0" fontId="27" fillId="0" borderId="0" xfId="75" applyFont="1" applyFill="1" applyAlignment="1" applyProtection="1"/>
    <xf numFmtId="49" fontId="27" fillId="0" borderId="0" xfId="75" applyNumberFormat="1" applyFont="1" applyFill="1" applyAlignment="1" applyProtection="1"/>
    <xf numFmtId="171" fontId="27" fillId="0" borderId="0" xfId="75" applyNumberFormat="1" applyFont="1" applyFill="1" applyAlignment="1" applyProtection="1">
      <alignment horizontal="center"/>
    </xf>
    <xf numFmtId="49" fontId="27" fillId="0" borderId="0" xfId="75" applyNumberFormat="1" applyFont="1" applyFill="1" applyAlignment="1" applyProtection="1">
      <alignment horizontal="center"/>
    </xf>
    <xf numFmtId="0" fontId="49" fillId="0" borderId="55" xfId="75" applyFont="1" applyFill="1" applyBorder="1" applyAlignment="1" applyProtection="1"/>
    <xf numFmtId="49" fontId="49" fillId="0" borderId="0" xfId="75" applyNumberFormat="1" applyFont="1" applyFill="1" applyBorder="1" applyAlignment="1" applyProtection="1"/>
    <xf numFmtId="171" fontId="49" fillId="0" borderId="0" xfId="75" applyNumberFormat="1" applyFont="1" applyFill="1" applyBorder="1" applyAlignment="1" applyProtection="1">
      <alignment horizontal="center"/>
    </xf>
    <xf numFmtId="49" fontId="49" fillId="0" borderId="0" xfId="75" applyNumberFormat="1" applyFont="1" applyFill="1" applyBorder="1" applyAlignment="1" applyProtection="1">
      <alignment horizontal="center"/>
    </xf>
    <xf numFmtId="0" fontId="49" fillId="0" borderId="0" xfId="75" applyFont="1" applyFill="1" applyAlignment="1" applyProtection="1"/>
    <xf numFmtId="49" fontId="49" fillId="0" borderId="52" xfId="75" applyNumberFormat="1" applyFont="1" applyFill="1" applyBorder="1" applyAlignment="1" applyProtection="1">
      <alignment vertical="center"/>
    </xf>
    <xf numFmtId="49" fontId="49" fillId="0" borderId="53" xfId="75" applyNumberFormat="1" applyFont="1" applyFill="1" applyBorder="1" applyAlignment="1" applyProtection="1">
      <alignment vertical="center"/>
    </xf>
    <xf numFmtId="171" fontId="58" fillId="0" borderId="53" xfId="75" applyNumberFormat="1" applyFont="1" applyFill="1" applyBorder="1" applyAlignment="1" applyProtection="1">
      <alignment horizontal="center" vertical="center"/>
    </xf>
    <xf numFmtId="49" fontId="49" fillId="0" borderId="54" xfId="75" applyNumberFormat="1" applyFont="1" applyFill="1" applyBorder="1" applyAlignment="1" applyProtection="1">
      <alignment horizontal="center" vertical="center"/>
    </xf>
    <xf numFmtId="0" fontId="18" fillId="0" borderId="0" xfId="75" applyFont="1" applyFill="1" applyAlignment="1" applyProtection="1">
      <alignment vertical="center"/>
    </xf>
    <xf numFmtId="49" fontId="49" fillId="0" borderId="55" xfId="75" applyNumberFormat="1" applyFont="1" applyFill="1" applyBorder="1" applyAlignment="1" applyProtection="1">
      <alignment vertical="center"/>
    </xf>
    <xf numFmtId="49" fontId="49" fillId="0" borderId="0" xfId="75" applyNumberFormat="1" applyFont="1" applyFill="1" applyBorder="1" applyAlignment="1" applyProtection="1">
      <alignment vertical="center"/>
    </xf>
    <xf numFmtId="49" fontId="108" fillId="0" borderId="0" xfId="75" applyNumberFormat="1" applyFont="1" applyFill="1" applyBorder="1" applyAlignment="1" applyProtection="1">
      <alignment vertical="center"/>
    </xf>
    <xf numFmtId="49" fontId="125" fillId="0" borderId="0" xfId="75" applyNumberFormat="1" applyFont="1" applyFill="1" applyBorder="1" applyAlignment="1" applyProtection="1">
      <alignment horizontal="left" vertical="center"/>
    </xf>
    <xf numFmtId="0" fontId="108" fillId="0" borderId="0" xfId="75" applyNumberFormat="1" applyFont="1" applyFill="1" applyBorder="1" applyAlignment="1" applyProtection="1">
      <alignment vertical="center"/>
    </xf>
    <xf numFmtId="49" fontId="49" fillId="0" borderId="57" xfId="75" applyNumberFormat="1" applyFont="1" applyFill="1" applyBorder="1" applyAlignment="1" applyProtection="1">
      <alignment vertical="center"/>
    </xf>
    <xf numFmtId="49" fontId="49" fillId="0" borderId="104" xfId="75" applyNumberFormat="1" applyFont="1" applyFill="1" applyBorder="1" applyAlignment="1" applyProtection="1">
      <alignment vertical="center"/>
    </xf>
    <xf numFmtId="49" fontId="108" fillId="0" borderId="104" xfId="75" applyNumberFormat="1" applyFont="1" applyFill="1" applyBorder="1" applyAlignment="1" applyProtection="1">
      <alignment vertical="center"/>
    </xf>
    <xf numFmtId="49" fontId="125" fillId="0" borderId="104" xfId="75" applyNumberFormat="1" applyFont="1" applyFill="1" applyBorder="1" applyAlignment="1" applyProtection="1">
      <alignment horizontal="left" vertical="center"/>
    </xf>
    <xf numFmtId="49" fontId="18" fillId="0" borderId="57" xfId="75" applyNumberFormat="1" applyFont="1" applyFill="1" applyBorder="1" applyAlignment="1" applyProtection="1">
      <alignment vertical="center"/>
    </xf>
    <xf numFmtId="171" fontId="18" fillId="0" borderId="104" xfId="75" applyNumberFormat="1" applyFont="1" applyFill="1" applyBorder="1" applyAlignment="1" applyProtection="1">
      <alignment horizontal="center" vertical="center"/>
    </xf>
    <xf numFmtId="49" fontId="18" fillId="0" borderId="105" xfId="75" applyNumberFormat="1" applyFont="1" applyFill="1" applyBorder="1" applyAlignment="1" applyProtection="1">
      <alignment horizontal="center" vertical="center"/>
    </xf>
    <xf numFmtId="49" fontId="49" fillId="0" borderId="52" xfId="75" applyNumberFormat="1" applyFont="1" applyFill="1" applyBorder="1" applyAlignment="1" applyProtection="1">
      <alignment vertical="top"/>
    </xf>
    <xf numFmtId="49" fontId="49" fillId="0" borderId="53" xfId="75" applyNumberFormat="1" applyFont="1" applyFill="1" applyBorder="1" applyAlignment="1" applyProtection="1">
      <alignment vertical="top"/>
    </xf>
    <xf numFmtId="49" fontId="49" fillId="0" borderId="53" xfId="75" applyNumberFormat="1" applyFont="1" applyFill="1" applyBorder="1" applyAlignment="1" applyProtection="1"/>
    <xf numFmtId="49" fontId="49" fillId="0" borderId="53" xfId="75" applyNumberFormat="1" applyFont="1" applyFill="1" applyBorder="1" applyAlignment="1" applyProtection="1">
      <alignment horizontal="left"/>
    </xf>
    <xf numFmtId="171" fontId="49" fillId="0" borderId="53" xfId="75" applyNumberFormat="1" applyFont="1" applyFill="1" applyBorder="1" applyAlignment="1" applyProtection="1">
      <alignment horizontal="center"/>
    </xf>
    <xf numFmtId="0" fontId="34" fillId="0" borderId="0" xfId="75" applyFont="1" applyFill="1" applyAlignment="1" applyProtection="1">
      <alignment vertical="center"/>
    </xf>
    <xf numFmtId="49" fontId="49" fillId="0" borderId="53" xfId="75" applyNumberFormat="1" applyFont="1" applyFill="1" applyBorder="1" applyAlignment="1" applyProtection="1">
      <alignment horizontal="left" vertical="center" wrapText="1"/>
    </xf>
    <xf numFmtId="0" fontId="49" fillId="0" borderId="0" xfId="75" applyFont="1" applyFill="1" applyAlignment="1" applyProtection="1">
      <alignment horizontal="left" vertical="center"/>
    </xf>
    <xf numFmtId="0" fontId="49" fillId="0" borderId="0" xfId="75" applyNumberFormat="1" applyFont="1" applyFill="1" applyBorder="1" applyAlignment="1" applyProtection="1">
      <alignment horizontal="left" vertical="center" wrapText="1"/>
    </xf>
    <xf numFmtId="0" fontId="27" fillId="0" borderId="0" xfId="75" applyFont="1" applyFill="1" applyAlignment="1" applyProtection="1">
      <alignment vertical="center"/>
    </xf>
    <xf numFmtId="0" fontId="17" fillId="0" borderId="0" xfId="75" applyNumberFormat="1" applyFont="1" applyFill="1" applyBorder="1" applyAlignment="1" applyProtection="1">
      <alignment horizontal="left" vertical="center"/>
    </xf>
    <xf numFmtId="0" fontId="27" fillId="25" borderId="0" xfId="75" applyFont="1" applyFill="1" applyAlignment="1" applyProtection="1">
      <alignment vertical="center"/>
    </xf>
    <xf numFmtId="0" fontId="50" fillId="25" borderId="0" xfId="75" applyFont="1" applyFill="1" applyBorder="1" applyAlignment="1" applyProtection="1">
      <alignment horizontal="center" vertical="center" wrapText="1"/>
    </xf>
    <xf numFmtId="0" fontId="33" fillId="25" borderId="0" xfId="75" applyFont="1" applyFill="1" applyAlignment="1" applyProtection="1">
      <alignment vertical="center" wrapText="1"/>
    </xf>
    <xf numFmtId="0" fontId="36" fillId="25" borderId="0" xfId="75" applyFont="1" applyFill="1" applyAlignment="1" applyProtection="1"/>
    <xf numFmtId="0" fontId="27" fillId="25" borderId="0" xfId="75" applyFont="1" applyFill="1" applyAlignment="1" applyProtection="1"/>
    <xf numFmtId="49" fontId="27" fillId="25" borderId="0" xfId="75" applyNumberFormat="1" applyFont="1" applyFill="1" applyAlignment="1" applyProtection="1"/>
    <xf numFmtId="182" fontId="132" fillId="25" borderId="0" xfId="75" applyNumberFormat="1" applyFont="1" applyFill="1" applyAlignment="1" applyProtection="1">
      <alignment horizontal="left"/>
    </xf>
    <xf numFmtId="49" fontId="27" fillId="25" borderId="0" xfId="75" applyNumberFormat="1" applyFont="1" applyFill="1" applyAlignment="1" applyProtection="1">
      <alignment horizontal="center"/>
    </xf>
    <xf numFmtId="171" fontId="27" fillId="25" borderId="0" xfId="75" applyNumberFormat="1" applyFont="1" applyFill="1" applyAlignment="1" applyProtection="1">
      <alignment horizontal="center"/>
    </xf>
    <xf numFmtId="0" fontId="40" fillId="25" borderId="0" xfId="75" applyFont="1" applyFill="1" applyAlignment="1" applyProtection="1"/>
    <xf numFmtId="49" fontId="40" fillId="25" borderId="0" xfId="75" applyNumberFormat="1" applyFont="1" applyFill="1" applyAlignment="1" applyProtection="1"/>
    <xf numFmtId="0" fontId="41" fillId="25" borderId="0" xfId="75" applyFont="1" applyFill="1" applyProtection="1"/>
    <xf numFmtId="49" fontId="49" fillId="0" borderId="0" xfId="75" applyNumberFormat="1" applyFont="1" applyFill="1" applyAlignment="1" applyProtection="1"/>
    <xf numFmtId="171" fontId="49" fillId="0" borderId="0" xfId="75" applyNumberFormat="1" applyFont="1" applyFill="1" applyAlignment="1" applyProtection="1">
      <alignment horizontal="center"/>
    </xf>
    <xf numFmtId="49" fontId="49" fillId="0" borderId="0" xfId="75" applyNumberFormat="1" applyFont="1" applyFill="1" applyAlignment="1" applyProtection="1">
      <alignment horizontal="center"/>
    </xf>
    <xf numFmtId="0" fontId="49" fillId="0" borderId="0" xfId="75" applyNumberFormat="1" applyFont="1" applyFill="1" applyAlignment="1" applyProtection="1"/>
    <xf numFmtId="49" fontId="49" fillId="0" borderId="0" xfId="75" applyNumberFormat="1" applyFont="1" applyFill="1" applyAlignment="1" applyProtection="1">
      <alignment vertical="top"/>
    </xf>
    <xf numFmtId="171" fontId="49" fillId="0" borderId="0" xfId="75" applyNumberFormat="1" applyFont="1" applyFill="1" applyAlignment="1" applyProtection="1">
      <alignment vertical="top"/>
    </xf>
    <xf numFmtId="49" fontId="105" fillId="0" borderId="52" xfId="75" applyNumberFormat="1" applyFont="1" applyFill="1" applyBorder="1" applyAlignment="1" applyProtection="1">
      <alignment vertical="center"/>
    </xf>
    <xf numFmtId="49" fontId="125" fillId="0" borderId="56" xfId="75" applyNumberFormat="1" applyFont="1" applyFill="1" applyBorder="1" applyAlignment="1" applyProtection="1">
      <alignment horizontal="left" vertical="center"/>
    </xf>
    <xf numFmtId="49" fontId="49" fillId="0" borderId="58" xfId="75" applyNumberFormat="1" applyFont="1" applyFill="1" applyBorder="1" applyAlignment="1" applyProtection="1">
      <alignment vertical="center"/>
    </xf>
    <xf numFmtId="49" fontId="108" fillId="0" borderId="58" xfId="75" applyNumberFormat="1" applyFont="1" applyFill="1" applyBorder="1" applyAlignment="1" applyProtection="1">
      <alignment vertical="center"/>
    </xf>
    <xf numFmtId="49" fontId="125" fillId="0" borderId="59" xfId="75" applyNumberFormat="1" applyFont="1" applyFill="1" applyBorder="1" applyAlignment="1" applyProtection="1">
      <alignment horizontal="left" vertical="center"/>
    </xf>
    <xf numFmtId="171" fontId="18" fillId="0" borderId="58" xfId="75" applyNumberFormat="1" applyFont="1" applyFill="1" applyBorder="1" applyAlignment="1" applyProtection="1">
      <alignment horizontal="center" vertical="center"/>
    </xf>
    <xf numFmtId="49" fontId="18" fillId="0" borderId="59" xfId="75" applyNumberFormat="1" applyFont="1" applyFill="1" applyBorder="1" applyAlignment="1" applyProtection="1">
      <alignment horizontal="center" vertical="center"/>
    </xf>
    <xf numFmtId="49" fontId="49" fillId="0" borderId="54" xfId="75" applyNumberFormat="1" applyFont="1" applyFill="1" applyBorder="1" applyAlignment="1" applyProtection="1">
      <alignment horizontal="left"/>
    </xf>
    <xf numFmtId="0" fontId="49" fillId="0" borderId="71" xfId="75" applyNumberFormat="1" applyFont="1" applyFill="1" applyBorder="1" applyAlignment="1" applyProtection="1">
      <alignment horizontal="left" vertical="center" wrapText="1"/>
    </xf>
    <xf numFmtId="49" fontId="88" fillId="28" borderId="0" xfId="0" applyNumberFormat="1" applyFont="1" applyFill="1" applyBorder="1" applyAlignment="1" applyProtection="1">
      <alignment vertical="center" shrinkToFit="1"/>
      <protection locked="0"/>
    </xf>
    <xf numFmtId="49" fontId="88" fillId="28" borderId="0" xfId="0" applyNumberFormat="1" applyFont="1" applyFill="1" applyBorder="1" applyAlignment="1" applyProtection="1">
      <alignment vertical="center"/>
      <protection locked="0"/>
    </xf>
    <xf numFmtId="0" fontId="45" fillId="25" borderId="0" xfId="75" applyNumberFormat="1" applyFont="1" applyFill="1" applyBorder="1" applyAlignment="1" applyProtection="1">
      <alignment horizontal="center"/>
    </xf>
    <xf numFmtId="0" fontId="8" fillId="25" borderId="0" xfId="75" applyFont="1" applyFill="1" applyBorder="1" applyAlignment="1" applyProtection="1">
      <alignment horizontal="center"/>
    </xf>
    <xf numFmtId="0" fontId="50" fillId="25" borderId="55" xfId="75" applyFont="1" applyFill="1" applyBorder="1" applyAlignment="1" applyProtection="1">
      <alignment horizontal="center" vertical="center" wrapText="1"/>
    </xf>
    <xf numFmtId="49" fontId="49" fillId="0" borderId="54" xfId="75" applyNumberFormat="1" applyFont="1" applyFill="1" applyBorder="1" applyAlignment="1" applyProtection="1">
      <alignment horizontal="center"/>
    </xf>
    <xf numFmtId="0" fontId="139" fillId="27" borderId="34" xfId="69" applyFont="1" applyFill="1" applyBorder="1" applyAlignment="1" applyProtection="1">
      <alignment horizontal="center" vertical="center"/>
    </xf>
    <xf numFmtId="0" fontId="139" fillId="25" borderId="34" xfId="69" applyFont="1" applyFill="1" applyBorder="1" applyAlignment="1" applyProtection="1">
      <alignment horizontal="center" vertical="center"/>
    </xf>
    <xf numFmtId="49" fontId="26" fillId="25" borderId="0" xfId="69" applyNumberFormat="1" applyFont="1" applyFill="1" applyBorder="1" applyAlignment="1" applyProtection="1">
      <alignment horizontal="center" shrinkToFit="1"/>
    </xf>
    <xf numFmtId="0" fontId="54" fillId="25" borderId="0" xfId="69" applyNumberFormat="1" applyFont="1" applyFill="1" applyBorder="1" applyAlignment="1" applyProtection="1">
      <alignment horizontal="center" vertical="top"/>
    </xf>
    <xf numFmtId="49" fontId="139" fillId="25" borderId="34" xfId="69" applyNumberFormat="1" applyFont="1" applyFill="1" applyBorder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0" fontId="144" fillId="25" borderId="0" xfId="76" applyFont="1" applyFill="1" applyAlignment="1" applyProtection="1">
      <alignment horizontal="center" vertical="center"/>
    </xf>
    <xf numFmtId="49" fontId="49" fillId="0" borderId="54" xfId="75" applyNumberFormat="1" applyFont="1" applyFill="1" applyBorder="1" applyAlignment="1" applyProtection="1">
      <alignment horizontal="center"/>
    </xf>
    <xf numFmtId="0" fontId="45" fillId="25" borderId="0" xfId="75" applyNumberFormat="1" applyFont="1" applyFill="1" applyBorder="1" applyAlignment="1" applyProtection="1">
      <alignment horizontal="center"/>
    </xf>
    <xf numFmtId="0" fontId="8" fillId="25" borderId="0" xfId="75" applyFont="1" applyFill="1" applyBorder="1" applyAlignment="1" applyProtection="1">
      <alignment horizontal="center"/>
    </xf>
    <xf numFmtId="49" fontId="60" fillId="0" borderId="0" xfId="75" applyNumberFormat="1" applyFont="1" applyFill="1" applyAlignment="1" applyProtection="1">
      <alignment horizontal="center"/>
    </xf>
    <xf numFmtId="49" fontId="49" fillId="0" borderId="71" xfId="75" applyNumberFormat="1" applyFont="1" applyFill="1" applyBorder="1" applyAlignment="1" applyProtection="1">
      <alignment horizontal="left" vertical="center" wrapText="1"/>
    </xf>
    <xf numFmtId="49" fontId="125" fillId="0" borderId="58" xfId="75" applyNumberFormat="1" applyFont="1" applyFill="1" applyBorder="1" applyAlignment="1" applyProtection="1">
      <alignment horizontal="left" vertical="center"/>
    </xf>
    <xf numFmtId="49" fontId="49" fillId="0" borderId="53" xfId="75" applyNumberFormat="1" applyFont="1" applyFill="1" applyBorder="1" applyAlignment="1" applyProtection="1">
      <alignment horizontal="center" vertical="center" wrapText="1"/>
    </xf>
    <xf numFmtId="0" fontId="49" fillId="0" borderId="0" xfId="75" applyFont="1" applyFill="1" applyAlignment="1" applyProtection="1">
      <alignment horizontal="center" vertical="center"/>
    </xf>
    <xf numFmtId="0" fontId="49" fillId="0" borderId="0" xfId="75" applyNumberFormat="1" applyFont="1" applyFill="1" applyBorder="1" applyAlignment="1" applyProtection="1">
      <alignment horizontal="center" vertical="center" wrapText="1"/>
    </xf>
    <xf numFmtId="0" fontId="50" fillId="25" borderId="0" xfId="75" applyFont="1" applyFill="1" applyBorder="1" applyAlignment="1" applyProtection="1">
      <alignment horizontal="center" vertical="center" wrapText="1"/>
    </xf>
    <xf numFmtId="0" fontId="25" fillId="25" borderId="101" xfId="69" applyFont="1" applyFill="1" applyBorder="1" applyAlignment="1" applyProtection="1">
      <alignment horizontal="center" vertical="center"/>
      <protection locked="0"/>
    </xf>
    <xf numFmtId="17" fontId="121" fillId="25" borderId="92" xfId="69" applyNumberFormat="1" applyFont="1" applyFill="1" applyBorder="1" applyAlignment="1" applyProtection="1">
      <alignment horizontal="center" vertical="center"/>
      <protection locked="0"/>
    </xf>
    <xf numFmtId="0" fontId="17" fillId="25" borderId="0" xfId="69" applyFont="1" applyFill="1" applyProtection="1">
      <protection locked="0"/>
    </xf>
    <xf numFmtId="17" fontId="121" fillId="32" borderId="92" xfId="69" applyNumberFormat="1" applyFont="1" applyFill="1" applyBorder="1" applyAlignment="1" applyProtection="1">
      <alignment horizontal="center" vertical="center"/>
      <protection locked="0"/>
    </xf>
    <xf numFmtId="17" fontId="121" fillId="0" borderId="92" xfId="69" applyNumberFormat="1" applyFont="1" applyFill="1" applyBorder="1" applyAlignment="1" applyProtection="1">
      <alignment horizontal="center" vertical="center"/>
      <protection locked="0"/>
    </xf>
    <xf numFmtId="0" fontId="49" fillId="0" borderId="0" xfId="109" applyFont="1" applyProtection="1"/>
    <xf numFmtId="0" fontId="149" fillId="0" borderId="0" xfId="109" applyProtection="1"/>
    <xf numFmtId="0" fontId="163" fillId="0" borderId="101" xfId="109" applyFont="1" applyBorder="1" applyAlignment="1" applyProtection="1">
      <alignment horizontal="center" vertical="center" wrapText="1"/>
    </xf>
    <xf numFmtId="0" fontId="162" fillId="0" borderId="0" xfId="109" applyFont="1" applyBorder="1" applyAlignment="1" applyProtection="1">
      <alignment horizontal="left" vertical="center" wrapText="1"/>
    </xf>
    <xf numFmtId="0" fontId="162" fillId="0" borderId="67" xfId="109" applyFont="1" applyBorder="1" applyAlignment="1" applyProtection="1">
      <alignment horizontal="center" vertical="center" wrapText="1"/>
    </xf>
    <xf numFmtId="0" fontId="162" fillId="0" borderId="68" xfId="109" applyFont="1" applyBorder="1" applyAlignment="1" applyProtection="1">
      <alignment horizontal="center" vertical="center" wrapText="1"/>
    </xf>
    <xf numFmtId="0" fontId="162" fillId="0" borderId="17" xfId="109" applyFont="1" applyBorder="1" applyAlignment="1" applyProtection="1">
      <alignment horizontal="center" vertical="center" wrapText="1"/>
    </xf>
    <xf numFmtId="0" fontId="162" fillId="0" borderId="0" xfId="109" applyFont="1" applyBorder="1" applyAlignment="1" applyProtection="1">
      <alignment horizontal="center" vertical="center" wrapText="1"/>
    </xf>
    <xf numFmtId="0" fontId="162" fillId="0" borderId="120" xfId="109" applyFont="1" applyBorder="1" applyAlignment="1" applyProtection="1">
      <alignment horizontal="center" vertical="center" wrapText="1"/>
    </xf>
    <xf numFmtId="0" fontId="162" fillId="0" borderId="119" xfId="109" applyFont="1" applyBorder="1" applyAlignment="1" applyProtection="1">
      <alignment horizontal="center" vertical="center" wrapText="1"/>
    </xf>
    <xf numFmtId="0" fontId="162" fillId="0" borderId="121" xfId="109" applyFont="1" applyBorder="1" applyAlignment="1" applyProtection="1">
      <alignment horizontal="center" vertical="center" wrapText="1"/>
    </xf>
    <xf numFmtId="0" fontId="162" fillId="0" borderId="55" xfId="109" applyFont="1" applyBorder="1" applyAlignment="1" applyProtection="1">
      <alignment horizontal="center" vertical="center" wrapText="1"/>
    </xf>
    <xf numFmtId="0" fontId="162" fillId="0" borderId="12" xfId="109" applyFont="1" applyBorder="1" applyAlignment="1" applyProtection="1">
      <alignment horizontal="center" vertical="center" wrapText="1"/>
    </xf>
    <xf numFmtId="0" fontId="162" fillId="0" borderId="101" xfId="109" applyFont="1" applyBorder="1" applyAlignment="1" applyProtection="1">
      <alignment horizontal="center" vertical="top" wrapText="1"/>
    </xf>
    <xf numFmtId="0" fontId="149" fillId="0" borderId="0" xfId="109" applyAlignment="1" applyProtection="1">
      <alignment vertical="top"/>
    </xf>
    <xf numFmtId="0" fontId="51" fillId="0" borderId="0" xfId="109" applyFont="1" applyAlignment="1" applyProtection="1">
      <alignment vertical="center" wrapText="1"/>
    </xf>
    <xf numFmtId="0" fontId="163" fillId="0" borderId="0" xfId="109" applyFont="1" applyAlignment="1" applyProtection="1">
      <alignment horizontal="center" vertical="center"/>
    </xf>
    <xf numFmtId="0" fontId="51" fillId="0" borderId="0" xfId="109" applyFont="1" applyProtection="1"/>
    <xf numFmtId="0" fontId="162" fillId="0" borderId="0" xfId="109" applyFont="1" applyAlignment="1" applyProtection="1">
      <alignment horizontal="center" vertical="center"/>
    </xf>
    <xf numFmtId="0" fontId="168" fillId="0" borderId="0" xfId="109" applyFont="1" applyAlignment="1" applyProtection="1">
      <alignment horizontal="center" vertical="center"/>
    </xf>
    <xf numFmtId="0" fontId="59" fillId="0" borderId="0" xfId="109" applyFont="1" applyProtection="1"/>
    <xf numFmtId="0" fontId="168" fillId="0" borderId="0" xfId="109" applyFont="1" applyAlignment="1" applyProtection="1">
      <alignment horizontal="justify" vertical="center"/>
    </xf>
    <xf numFmtId="187" fontId="49" fillId="0" borderId="0" xfId="109" applyNumberFormat="1" applyFont="1" applyProtection="1"/>
    <xf numFmtId="0" fontId="49" fillId="0" borderId="0" xfId="109" applyFont="1" applyFill="1" applyProtection="1"/>
    <xf numFmtId="0" fontId="169" fillId="0" borderId="0" xfId="109" applyFont="1" applyBorder="1" applyAlignment="1" applyProtection="1">
      <alignment horizontal="center"/>
    </xf>
    <xf numFmtId="0" fontId="49" fillId="0" borderId="0" xfId="109" applyFont="1" applyBorder="1" applyProtection="1"/>
    <xf numFmtId="0" fontId="162" fillId="0" borderId="101" xfId="109" applyFont="1" applyBorder="1" applyAlignment="1" applyProtection="1">
      <alignment horizontal="center" vertical="center" wrapText="1"/>
      <protection locked="0"/>
    </xf>
    <xf numFmtId="0" fontId="162" fillId="0" borderId="101" xfId="109" quotePrefix="1" applyFont="1" applyBorder="1" applyAlignment="1" applyProtection="1">
      <alignment horizontal="center" vertical="center" wrapText="1"/>
      <protection locked="0"/>
    </xf>
    <xf numFmtId="0" fontId="162" fillId="0" borderId="101" xfId="109" applyFont="1" applyBorder="1" applyAlignment="1" applyProtection="1">
      <alignment horizontal="justify" vertical="center" wrapText="1"/>
      <protection locked="0"/>
    </xf>
    <xf numFmtId="0" fontId="139" fillId="27" borderId="109" xfId="69" applyFont="1" applyFill="1" applyBorder="1" applyAlignment="1" applyProtection="1">
      <alignment horizontal="center" vertical="center"/>
    </xf>
    <xf numFmtId="0" fontId="139" fillId="25" borderId="109" xfId="69" applyNumberFormat="1" applyFont="1" applyFill="1" applyBorder="1" applyAlignment="1" applyProtection="1">
      <alignment horizontal="center" vertical="center"/>
    </xf>
    <xf numFmtId="182" fontId="142" fillId="25" borderId="109" xfId="69" applyNumberFormat="1" applyFont="1" applyFill="1" applyBorder="1" applyAlignment="1" applyProtection="1">
      <alignment horizontal="center" vertical="center"/>
    </xf>
    <xf numFmtId="0" fontId="8" fillId="25" borderId="107" xfId="69" applyFont="1" applyFill="1" applyBorder="1" applyProtection="1"/>
    <xf numFmtId="0" fontId="25" fillId="25" borderId="107" xfId="30" applyNumberFormat="1" applyFont="1" applyFill="1" applyBorder="1" applyAlignment="1" applyProtection="1">
      <alignment vertical="center"/>
    </xf>
    <xf numFmtId="0" fontId="141" fillId="26" borderId="77" xfId="69" applyFont="1" applyFill="1" applyBorder="1" applyAlignment="1" applyProtection="1">
      <alignment horizontal="center" vertical="center"/>
    </xf>
    <xf numFmtId="0" fontId="57" fillId="25" borderId="0" xfId="0" applyFont="1" applyFill="1" applyBorder="1" applyAlignment="1" applyProtection="1">
      <alignment horizontal="center" vertical="center"/>
    </xf>
    <xf numFmtId="49" fontId="57" fillId="25" borderId="0" xfId="0" applyNumberFormat="1" applyFont="1" applyFill="1" applyBorder="1" applyAlignment="1" applyProtection="1">
      <alignment horizontal="center" vertical="center" wrapText="1"/>
    </xf>
    <xf numFmtId="0" fontId="57" fillId="25" borderId="0" xfId="0" applyFont="1" applyFill="1" applyBorder="1" applyAlignment="1" applyProtection="1">
      <alignment vertical="center"/>
    </xf>
    <xf numFmtId="171" fontId="19" fillId="25" borderId="0" xfId="51" applyNumberFormat="1" applyFont="1" applyFill="1" applyBorder="1" applyAlignment="1" applyProtection="1">
      <alignment horizontal="center" vertical="center" wrapText="1"/>
    </xf>
    <xf numFmtId="171" fontId="19" fillId="0" borderId="0" xfId="51" applyNumberFormat="1" applyFont="1" applyFill="1" applyBorder="1" applyAlignment="1" applyProtection="1">
      <alignment horizontal="center" vertical="center" wrapText="1"/>
    </xf>
    <xf numFmtId="0" fontId="98" fillId="34" borderId="0" xfId="0" applyFont="1" applyFill="1" applyBorder="1" applyAlignment="1" applyProtection="1">
      <alignment horizontal="center" vertical="center" wrapText="1"/>
    </xf>
    <xf numFmtId="0" fontId="19" fillId="34" borderId="0" xfId="0" applyFont="1" applyFill="1" applyBorder="1" applyAlignment="1" applyProtection="1">
      <alignment horizontal="center" vertical="center" wrapText="1"/>
    </xf>
    <xf numFmtId="0" fontId="174" fillId="26" borderId="109" xfId="0" applyFont="1" applyFill="1" applyBorder="1" applyAlignment="1" applyProtection="1">
      <alignment horizontal="center" vertical="center"/>
    </xf>
    <xf numFmtId="49" fontId="174" fillId="26" borderId="110" xfId="0" applyNumberFormat="1" applyFont="1" applyFill="1" applyBorder="1" applyAlignment="1" applyProtection="1">
      <alignment horizontal="center" vertical="center"/>
    </xf>
    <xf numFmtId="0" fontId="25" fillId="25" borderId="107" xfId="0" applyFont="1" applyFill="1" applyBorder="1" applyAlignment="1" applyProtection="1">
      <alignment vertical="center"/>
    </xf>
    <xf numFmtId="171" fontId="17" fillId="25" borderId="107" xfId="0" applyNumberFormat="1" applyFont="1" applyFill="1" applyBorder="1" applyAlignment="1" applyProtection="1">
      <alignment vertical="center" wrapText="1"/>
    </xf>
    <xf numFmtId="171" fontId="15" fillId="25" borderId="107" xfId="0" applyNumberFormat="1" applyFont="1" applyFill="1" applyBorder="1" applyAlignment="1" applyProtection="1">
      <alignment vertical="center" wrapText="1"/>
    </xf>
    <xf numFmtId="0" fontId="57" fillId="25" borderId="101" xfId="30" applyNumberFormat="1" applyFont="1" applyFill="1" applyBorder="1" applyAlignment="1" applyProtection="1">
      <alignment horizontal="center" vertical="center"/>
      <protection locked="0"/>
    </xf>
    <xf numFmtId="0" fontId="25" fillId="25" borderId="101" xfId="0" quotePrefix="1" applyFont="1" applyFill="1" applyBorder="1" applyAlignment="1" applyProtection="1">
      <alignment horizontal="center" vertical="center"/>
      <protection locked="0"/>
    </xf>
    <xf numFmtId="0" fontId="25" fillId="25" borderId="101" xfId="30" applyNumberFormat="1" applyFont="1" applyFill="1" applyBorder="1" applyAlignment="1" applyProtection="1">
      <alignment vertical="center"/>
      <protection locked="0"/>
    </xf>
    <xf numFmtId="0" fontId="25" fillId="25" borderId="101" xfId="30" quotePrefix="1" applyNumberFormat="1" applyFont="1" applyFill="1" applyBorder="1" applyAlignment="1" applyProtection="1">
      <alignment vertical="center"/>
      <protection locked="0"/>
    </xf>
    <xf numFmtId="0" fontId="24" fillId="25" borderId="101" xfId="0" applyNumberFormat="1" applyFont="1" applyFill="1" applyBorder="1" applyAlignment="1" applyProtection="1">
      <alignment vertical="center"/>
      <protection locked="0"/>
    </xf>
    <xf numFmtId="0" fontId="25" fillId="25" borderId="101" xfId="0" applyFont="1" applyFill="1" applyBorder="1" applyAlignment="1" applyProtection="1">
      <alignment horizontal="center" vertical="center"/>
      <protection locked="0"/>
    </xf>
    <xf numFmtId="49" fontId="25" fillId="25" borderId="101" xfId="0" quotePrefix="1" applyNumberFormat="1" applyFont="1" applyFill="1" applyBorder="1" applyAlignment="1" applyProtection="1">
      <alignment horizontal="center" vertical="center"/>
      <protection locked="0"/>
    </xf>
    <xf numFmtId="49" fontId="24" fillId="25" borderId="101" xfId="0" quotePrefix="1" applyNumberFormat="1" applyFont="1" applyFill="1" applyBorder="1" applyAlignment="1" applyProtection="1">
      <alignment horizontal="center"/>
      <protection locked="0"/>
    </xf>
    <xf numFmtId="49" fontId="143" fillId="26" borderId="77" xfId="0" applyNumberFormat="1" applyFont="1" applyFill="1" applyBorder="1" applyAlignment="1">
      <alignment horizontal="center" vertical="center"/>
    </xf>
    <xf numFmtId="0" fontId="143" fillId="26" borderId="109" xfId="0" applyFont="1" applyFill="1" applyBorder="1" applyAlignment="1">
      <alignment horizontal="center" vertical="center"/>
    </xf>
    <xf numFmtId="0" fontId="143" fillId="26" borderId="110" xfId="0" applyFont="1" applyFill="1" applyBorder="1" applyAlignment="1">
      <alignment horizontal="center" vertical="center"/>
    </xf>
    <xf numFmtId="0" fontId="15" fillId="25" borderId="0" xfId="0" applyFont="1" applyFill="1" applyProtection="1"/>
    <xf numFmtId="171" fontId="15" fillId="25" borderId="0" xfId="0" applyNumberFormat="1" applyFont="1" applyFill="1" applyProtection="1"/>
    <xf numFmtId="0" fontId="15" fillId="25" borderId="0" xfId="0" applyFont="1" applyFill="1" applyBorder="1" applyProtection="1"/>
    <xf numFmtId="0" fontId="62" fillId="25" borderId="17" xfId="0" applyFont="1" applyFill="1" applyBorder="1" applyAlignment="1" applyProtection="1">
      <alignment vertical="center"/>
    </xf>
    <xf numFmtId="171" fontId="62" fillId="25" borderId="0" xfId="0" applyNumberFormat="1" applyFont="1" applyFill="1" applyBorder="1" applyAlignment="1" applyProtection="1">
      <alignment vertical="center"/>
    </xf>
    <xf numFmtId="0" fontId="62" fillId="25" borderId="0" xfId="0" applyFont="1" applyFill="1" applyBorder="1" applyAlignment="1" applyProtection="1">
      <alignment vertical="center"/>
    </xf>
    <xf numFmtId="0" fontId="19" fillId="25" borderId="0" xfId="0" applyFont="1" applyFill="1" applyAlignment="1" applyProtection="1">
      <alignment horizontal="center" vertical="center"/>
    </xf>
    <xf numFmtId="0" fontId="15" fillId="25" borderId="0" xfId="0" applyFont="1" applyFill="1" applyAlignment="1" applyProtection="1">
      <alignment horizontal="center" vertical="center"/>
    </xf>
    <xf numFmtId="171" fontId="25" fillId="25" borderId="17" xfId="0" applyNumberFormat="1" applyFont="1" applyFill="1" applyBorder="1" applyAlignment="1" applyProtection="1"/>
    <xf numFmtId="14" fontId="25" fillId="25" borderId="17" xfId="0" applyNumberFormat="1" applyFont="1" applyFill="1" applyBorder="1" applyAlignment="1" applyProtection="1">
      <alignment horizontal="left" indent="1" shrinkToFit="1"/>
    </xf>
    <xf numFmtId="0" fontId="143" fillId="26" borderId="109" xfId="0" applyFont="1" applyFill="1" applyBorder="1" applyAlignment="1" applyProtection="1">
      <alignment horizontal="center" vertical="center"/>
    </xf>
    <xf numFmtId="0" fontId="143" fillId="26" borderId="110" xfId="0" applyFont="1" applyFill="1" applyBorder="1" applyAlignment="1" applyProtection="1">
      <alignment horizontal="center" vertical="center"/>
    </xf>
    <xf numFmtId="0" fontId="144" fillId="25" borderId="0" xfId="0" applyFont="1" applyFill="1" applyAlignment="1" applyProtection="1">
      <alignment horizontal="center" vertical="center"/>
    </xf>
    <xf numFmtId="0" fontId="113" fillId="25" borderId="0" xfId="0" applyFont="1" applyFill="1" applyProtection="1"/>
    <xf numFmtId="0" fontId="24" fillId="25" borderId="0" xfId="0" applyFont="1" applyFill="1" applyProtection="1"/>
    <xf numFmtId="171" fontId="24" fillId="25" borderId="0" xfId="0" applyNumberFormat="1" applyFont="1" applyFill="1" applyProtection="1"/>
    <xf numFmtId="49" fontId="54" fillId="25" borderId="0" xfId="0" applyNumberFormat="1" applyFont="1" applyFill="1" applyBorder="1" applyAlignment="1" applyProtection="1">
      <alignment horizontal="center" vertical="top"/>
    </xf>
    <xf numFmtId="49" fontId="53" fillId="25" borderId="0" xfId="0" applyNumberFormat="1" applyFont="1" applyFill="1" applyBorder="1" applyAlignment="1" applyProtection="1">
      <alignment horizontal="center"/>
    </xf>
    <xf numFmtId="49" fontId="116" fillId="25" borderId="0" xfId="0" applyNumberFormat="1" applyFont="1" applyFill="1" applyBorder="1" applyAlignment="1">
      <alignment horizontal="center" vertical="top"/>
    </xf>
    <xf numFmtId="49" fontId="178" fillId="25" borderId="0" xfId="0" applyNumberFormat="1" applyFont="1" applyFill="1" applyBorder="1" applyAlignment="1">
      <alignment horizontal="center"/>
    </xf>
    <xf numFmtId="174" fontId="25" fillId="25" borderId="101" xfId="30" applyNumberFormat="1" applyFont="1" applyFill="1" applyBorder="1" applyAlignment="1" applyProtection="1">
      <alignment horizontal="center" vertical="center"/>
      <protection locked="0"/>
    </xf>
    <xf numFmtId="171" fontId="17" fillId="25" borderId="101" xfId="0" applyNumberFormat="1" applyFont="1" applyFill="1" applyBorder="1" applyAlignment="1" applyProtection="1">
      <alignment horizontal="center" vertical="center" wrapText="1"/>
      <protection locked="0"/>
    </xf>
    <xf numFmtId="167" fontId="24" fillId="25" borderId="101" xfId="31" applyFont="1" applyFill="1" applyBorder="1" applyAlignment="1" applyProtection="1">
      <alignment horizontal="center" vertical="center"/>
      <protection locked="0"/>
    </xf>
    <xf numFmtId="174" fontId="24" fillId="25" borderId="101" xfId="30" applyNumberFormat="1" applyFont="1" applyFill="1" applyBorder="1" applyAlignment="1" applyProtection="1">
      <alignment horizontal="center" vertical="center" wrapText="1"/>
      <protection locked="0"/>
    </xf>
    <xf numFmtId="171" fontId="8" fillId="25" borderId="101" xfId="0" applyNumberFormat="1" applyFont="1" applyFill="1" applyBorder="1" applyAlignment="1" applyProtection="1">
      <alignment horizontal="center" vertical="center" wrapText="1"/>
      <protection locked="0"/>
    </xf>
    <xf numFmtId="174" fontId="24" fillId="25" borderId="101" xfId="30" applyNumberFormat="1" applyFont="1" applyFill="1" applyBorder="1" applyAlignment="1" applyProtection="1">
      <alignment horizontal="center" vertical="center"/>
      <protection locked="0"/>
    </xf>
    <xf numFmtId="171" fontId="18" fillId="25" borderId="101" xfId="0" applyNumberFormat="1" applyFont="1" applyFill="1" applyBorder="1" applyAlignment="1" applyProtection="1">
      <alignment horizontal="center" vertical="center" wrapText="1"/>
      <protection locked="0"/>
    </xf>
    <xf numFmtId="0" fontId="177" fillId="25" borderId="101" xfId="0" quotePrefix="1" applyFont="1" applyFill="1" applyBorder="1" applyAlignment="1" applyProtection="1">
      <alignment horizontal="center" vertical="center"/>
      <protection locked="0"/>
    </xf>
    <xf numFmtId="0" fontId="24" fillId="25" borderId="101" xfId="0" quotePrefix="1" applyFont="1" applyFill="1" applyBorder="1" applyAlignment="1" applyProtection="1">
      <alignment vertical="center"/>
      <protection locked="0"/>
    </xf>
    <xf numFmtId="0" fontId="24" fillId="25" borderId="101" xfId="0" quotePrefix="1" applyFont="1" applyFill="1" applyBorder="1" applyAlignment="1" applyProtection="1">
      <alignment horizontal="center" vertical="center"/>
      <protection locked="0"/>
    </xf>
    <xf numFmtId="49" fontId="19" fillId="0" borderId="71" xfId="75" applyNumberFormat="1" applyFont="1" applyFill="1" applyBorder="1" applyAlignment="1" applyProtection="1">
      <alignment horizontal="center" vertical="center"/>
    </xf>
    <xf numFmtId="49" fontId="17" fillId="0" borderId="71" xfId="75" applyNumberFormat="1" applyFont="1" applyFill="1" applyBorder="1" applyAlignment="1" applyProtection="1">
      <alignment horizontal="left" vertical="center"/>
    </xf>
    <xf numFmtId="49" fontId="109" fillId="0" borderId="71" xfId="75" applyNumberFormat="1" applyFont="1" applyFill="1" applyBorder="1" applyAlignment="1" applyProtection="1">
      <alignment horizontal="center" vertical="center" wrapText="1"/>
    </xf>
    <xf numFmtId="171" fontId="8" fillId="0" borderId="71" xfId="75" applyNumberFormat="1" applyFont="1" applyFill="1" applyBorder="1" applyAlignment="1" applyProtection="1">
      <alignment horizontal="left" vertical="center" indent="1"/>
    </xf>
    <xf numFmtId="179" fontId="8" fillId="0" borderId="71" xfId="75" applyNumberFormat="1" applyFont="1" applyFill="1" applyBorder="1" applyAlignment="1" applyProtection="1">
      <alignment horizontal="center" vertical="center" wrapText="1"/>
    </xf>
    <xf numFmtId="179" fontId="8" fillId="0" borderId="71" xfId="75" applyNumberFormat="1" applyFont="1" applyFill="1" applyBorder="1" applyAlignment="1" applyProtection="1">
      <alignment horizontal="left" vertical="center" wrapText="1" indent="1"/>
    </xf>
    <xf numFmtId="49" fontId="8" fillId="0" borderId="71" xfId="0" applyNumberFormat="1" applyFont="1" applyFill="1" applyBorder="1" applyAlignment="1" applyProtection="1">
      <alignment horizontal="center" vertical="center" shrinkToFit="1"/>
    </xf>
    <xf numFmtId="181" fontId="103" fillId="0" borderId="71" xfId="74" applyNumberFormat="1" applyFont="1" applyFill="1" applyBorder="1" applyAlignment="1" applyProtection="1">
      <alignment horizontal="center" vertical="center"/>
    </xf>
    <xf numFmtId="49" fontId="19" fillId="0" borderId="117" xfId="75" applyNumberFormat="1" applyFont="1" applyFill="1" applyBorder="1" applyAlignment="1" applyProtection="1">
      <alignment horizontal="center" vertical="center"/>
    </xf>
    <xf numFmtId="49" fontId="17" fillId="0" borderId="117" xfId="75" applyNumberFormat="1" applyFont="1" applyFill="1" applyBorder="1" applyAlignment="1" applyProtection="1">
      <alignment horizontal="left" vertical="center"/>
    </xf>
    <xf numFmtId="49" fontId="109" fillId="0" borderId="117" xfId="75" applyNumberFormat="1" applyFont="1" applyFill="1" applyBorder="1" applyAlignment="1" applyProtection="1">
      <alignment horizontal="center" vertical="center" wrapText="1"/>
      <protection hidden="1"/>
    </xf>
    <xf numFmtId="49" fontId="109" fillId="0" borderId="117" xfId="75" applyNumberFormat="1" applyFont="1" applyFill="1" applyBorder="1" applyAlignment="1" applyProtection="1">
      <alignment horizontal="center" vertical="center"/>
      <protection hidden="1"/>
    </xf>
    <xf numFmtId="171" fontId="8" fillId="0" borderId="117" xfId="75" applyNumberFormat="1" applyFont="1" applyFill="1" applyBorder="1" applyAlignment="1" applyProtection="1">
      <alignment horizontal="left" vertical="center" indent="1"/>
    </xf>
    <xf numFmtId="171" fontId="20" fillId="0" borderId="117" xfId="75" applyNumberFormat="1" applyFont="1" applyFill="1" applyBorder="1" applyAlignment="1" applyProtection="1">
      <alignment horizontal="center" vertical="center" wrapText="1"/>
    </xf>
    <xf numFmtId="179" fontId="8" fillId="0" borderId="117" xfId="75" applyNumberFormat="1" applyFont="1" applyFill="1" applyBorder="1" applyAlignment="1" applyProtection="1">
      <alignment horizontal="left" vertical="center" wrapText="1" indent="1"/>
    </xf>
    <xf numFmtId="179" fontId="8" fillId="0" borderId="117" xfId="75" applyNumberFormat="1" applyFont="1" applyFill="1" applyBorder="1" applyAlignment="1" applyProtection="1">
      <alignment horizontal="center" vertical="center" wrapText="1"/>
    </xf>
    <xf numFmtId="49" fontId="8" fillId="0" borderId="117" xfId="75" applyNumberFormat="1" applyFont="1" applyFill="1" applyBorder="1" applyAlignment="1" applyProtection="1">
      <alignment horizontal="left" vertical="center" wrapText="1" indent="1"/>
      <protection hidden="1"/>
    </xf>
    <xf numFmtId="49" fontId="8" fillId="0" borderId="117" xfId="0" applyNumberFormat="1" applyFont="1" applyFill="1" applyBorder="1" applyAlignment="1" applyProtection="1">
      <alignment horizontal="center" vertical="center" shrinkToFit="1"/>
    </xf>
    <xf numFmtId="181" fontId="103" fillId="0" borderId="117" xfId="74" applyNumberFormat="1" applyFont="1" applyFill="1" applyBorder="1" applyAlignment="1" applyProtection="1">
      <alignment horizontal="center" vertical="center"/>
    </xf>
    <xf numFmtId="49" fontId="17" fillId="0" borderId="71" xfId="75" applyNumberFormat="1" applyFont="1" applyFill="1" applyBorder="1" applyAlignment="1" applyProtection="1">
      <alignment vertical="center"/>
    </xf>
    <xf numFmtId="49" fontId="109" fillId="0" borderId="71" xfId="75" applyNumberFormat="1" applyFont="1" applyFill="1" applyBorder="1" applyAlignment="1" applyProtection="1">
      <alignment horizontal="center" vertical="center" wrapText="1"/>
      <protection hidden="1"/>
    </xf>
    <xf numFmtId="49" fontId="109" fillId="0" borderId="71" xfId="75" applyNumberFormat="1" applyFont="1" applyFill="1" applyBorder="1" applyAlignment="1" applyProtection="1">
      <alignment horizontal="center" vertical="center"/>
      <protection hidden="1"/>
    </xf>
    <xf numFmtId="49" fontId="8" fillId="0" borderId="71" xfId="75" applyNumberFormat="1" applyFont="1" applyFill="1" applyBorder="1" applyAlignment="1" applyProtection="1">
      <alignment horizontal="center" vertical="center" wrapText="1"/>
      <protection hidden="1"/>
    </xf>
    <xf numFmtId="0" fontId="15" fillId="25" borderId="101" xfId="0" applyFont="1" applyFill="1" applyBorder="1" applyProtection="1"/>
    <xf numFmtId="0" fontId="24" fillId="25" borderId="12" xfId="0" applyFont="1" applyFill="1" applyBorder="1" applyProtection="1"/>
    <xf numFmtId="0" fontId="113" fillId="25" borderId="101" xfId="0" applyFont="1" applyFill="1" applyBorder="1" applyProtection="1"/>
    <xf numFmtId="49" fontId="24" fillId="25" borderId="101" xfId="0" quotePrefix="1" applyNumberFormat="1" applyFont="1" applyFill="1" applyBorder="1" applyAlignment="1" applyProtection="1">
      <alignment horizontal="center" vertical="center"/>
    </xf>
    <xf numFmtId="49" fontId="15" fillId="25" borderId="101" xfId="0" applyNumberFormat="1" applyFont="1" applyFill="1" applyBorder="1" applyAlignment="1" applyProtection="1">
      <alignment vertical="center"/>
    </xf>
    <xf numFmtId="4" fontId="8" fillId="25" borderId="101" xfId="0" applyNumberFormat="1" applyFont="1" applyFill="1" applyBorder="1" applyAlignment="1" applyProtection="1">
      <alignment horizontal="center" vertical="center"/>
    </xf>
    <xf numFmtId="0" fontId="19" fillId="0" borderId="101" xfId="30" applyNumberFormat="1" applyFont="1" applyFill="1" applyBorder="1" applyAlignment="1" applyProtection="1">
      <alignment horizontal="center" vertical="center"/>
    </xf>
    <xf numFmtId="49" fontId="18" fillId="28" borderId="0" xfId="0" applyNumberFormat="1" applyFont="1" applyFill="1" applyAlignment="1" applyProtection="1">
      <alignment horizontal="center" vertical="center" shrinkToFit="1"/>
    </xf>
    <xf numFmtId="0" fontId="18" fillId="28" borderId="0" xfId="0" applyNumberFormat="1" applyFont="1" applyFill="1" applyAlignment="1" applyProtection="1">
      <alignment vertical="center" shrinkToFit="1"/>
    </xf>
    <xf numFmtId="49" fontId="18" fillId="28" borderId="0" xfId="0" applyNumberFormat="1" applyFont="1" applyFill="1" applyAlignment="1" applyProtection="1">
      <alignment vertical="center" shrinkToFit="1"/>
    </xf>
    <xf numFmtId="171" fontId="18" fillId="28" borderId="0" xfId="0" applyNumberFormat="1" applyFont="1" applyFill="1" applyAlignment="1" applyProtection="1">
      <alignment horizontal="center" vertical="center" shrinkToFit="1"/>
    </xf>
    <xf numFmtId="171" fontId="21" fillId="28" borderId="0" xfId="0" applyNumberFormat="1" applyFont="1" applyFill="1" applyAlignment="1" applyProtection="1">
      <alignment horizontal="center" vertical="center" shrinkToFit="1"/>
    </xf>
    <xf numFmtId="177" fontId="18" fillId="33" borderId="0" xfId="0" applyNumberFormat="1" applyFont="1" applyFill="1" applyAlignment="1" applyProtection="1">
      <alignment horizontal="center" vertical="center" shrinkToFit="1"/>
    </xf>
    <xf numFmtId="49" fontId="18" fillId="33" borderId="0" xfId="0" applyNumberFormat="1" applyFont="1" applyFill="1" applyAlignment="1" applyProtection="1">
      <alignment horizontal="center" vertical="center" shrinkToFit="1"/>
    </xf>
    <xf numFmtId="49" fontId="38" fillId="28" borderId="0" xfId="0" applyNumberFormat="1" applyFont="1" applyFill="1" applyAlignment="1" applyProtection="1">
      <alignment horizontal="center" vertical="center" shrinkToFit="1"/>
    </xf>
    <xf numFmtId="49" fontId="18" fillId="28" borderId="0" xfId="0" applyNumberFormat="1" applyFont="1" applyFill="1" applyBorder="1" applyAlignment="1" applyProtection="1">
      <alignment horizontal="center" vertical="center" shrinkToFit="1"/>
    </xf>
    <xf numFmtId="171" fontId="18" fillId="28" borderId="0" xfId="0" applyNumberFormat="1" applyFont="1" applyFill="1" applyBorder="1" applyAlignment="1" applyProtection="1">
      <alignment horizontal="center" vertical="center" shrinkToFit="1"/>
    </xf>
    <xf numFmtId="0" fontId="30" fillId="28" borderId="0" xfId="0" applyNumberFormat="1" applyFont="1" applyFill="1" applyBorder="1" applyAlignment="1" applyProtection="1">
      <alignment horizontal="center" vertical="center" shrinkToFit="1"/>
    </xf>
    <xf numFmtId="49" fontId="15" fillId="28" borderId="0" xfId="0" applyNumberFormat="1" applyFont="1" applyFill="1" applyAlignment="1" applyProtection="1">
      <alignment vertical="center" shrinkToFit="1"/>
    </xf>
    <xf numFmtId="171" fontId="15" fillId="28" borderId="0" xfId="0" applyNumberFormat="1" applyFont="1" applyFill="1" applyAlignment="1" applyProtection="1">
      <alignment vertical="center" shrinkToFit="1"/>
    </xf>
    <xf numFmtId="49" fontId="66" fillId="28" borderId="0" xfId="0" applyNumberFormat="1" applyFont="1" applyFill="1" applyBorder="1" applyAlignment="1" applyProtection="1">
      <alignment horizontal="center" vertical="center" wrapText="1"/>
    </xf>
    <xf numFmtId="182" fontId="123" fillId="0" borderId="17" xfId="0" applyNumberFormat="1" applyFont="1" applyBorder="1" applyAlignment="1">
      <alignment horizontal="center" shrinkToFit="1"/>
    </xf>
    <xf numFmtId="0" fontId="24" fillId="25" borderId="101" xfId="0" applyFont="1" applyFill="1" applyBorder="1" applyProtection="1"/>
    <xf numFmtId="0" fontId="62" fillId="25" borderId="75" xfId="0" applyFont="1" applyFill="1" applyBorder="1" applyAlignment="1" applyProtection="1">
      <alignment vertical="center"/>
    </xf>
    <xf numFmtId="0" fontId="62" fillId="25" borderId="12" xfId="0" applyFont="1" applyFill="1" applyBorder="1" applyAlignment="1" applyProtection="1">
      <alignment vertical="center"/>
    </xf>
    <xf numFmtId="0" fontId="25" fillId="25" borderId="109" xfId="0" applyNumberFormat="1" applyFont="1" applyFill="1" applyBorder="1" applyAlignment="1" applyProtection="1">
      <alignment horizontal="center" vertical="center"/>
    </xf>
    <xf numFmtId="0" fontId="25" fillId="25" borderId="122" xfId="0" applyNumberFormat="1" applyFont="1" applyFill="1" applyBorder="1" applyAlignment="1" applyProtection="1">
      <alignment horizontal="center" vertical="center"/>
    </xf>
    <xf numFmtId="0" fontId="25" fillId="25" borderId="122" xfId="0" applyNumberFormat="1" applyFont="1" applyFill="1" applyBorder="1" applyAlignment="1" applyProtection="1"/>
    <xf numFmtId="0" fontId="25" fillId="25" borderId="18" xfId="0" applyFont="1" applyFill="1" applyBorder="1" applyAlignment="1" applyProtection="1">
      <alignment horizontal="left" indent="1" shrinkToFit="1"/>
    </xf>
    <xf numFmtId="0" fontId="143" fillId="26" borderId="122" xfId="0" applyFont="1" applyFill="1" applyBorder="1" applyAlignment="1" applyProtection="1">
      <alignment vertical="center"/>
    </xf>
    <xf numFmtId="0" fontId="143" fillId="26" borderId="122" xfId="0" applyFont="1" applyFill="1" applyBorder="1" applyAlignment="1" applyProtection="1">
      <alignment horizontal="center" vertical="center"/>
    </xf>
    <xf numFmtId="49" fontId="143" fillId="26" borderId="122" xfId="0" applyNumberFormat="1" applyFont="1" applyFill="1" applyBorder="1" applyAlignment="1" applyProtection="1">
      <alignment horizontal="center" vertical="center"/>
    </xf>
    <xf numFmtId="0" fontId="24" fillId="25" borderId="107" xfId="0" applyFont="1" applyFill="1" applyBorder="1" applyProtection="1"/>
    <xf numFmtId="0" fontId="24" fillId="25" borderId="0" xfId="0" applyFont="1" applyFill="1" applyBorder="1" applyProtection="1"/>
    <xf numFmtId="171" fontId="24" fillId="25" borderId="0" xfId="0" applyNumberFormat="1" applyFont="1" applyFill="1" applyBorder="1" applyProtection="1"/>
    <xf numFmtId="171" fontId="24" fillId="25" borderId="0" xfId="0" applyNumberFormat="1" applyFont="1" applyFill="1" applyBorder="1" applyAlignment="1" applyProtection="1">
      <alignment horizontal="center"/>
    </xf>
    <xf numFmtId="0" fontId="24" fillId="25" borderId="75" xfId="0" applyFont="1" applyFill="1" applyBorder="1" applyProtection="1"/>
    <xf numFmtId="0" fontId="15" fillId="25" borderId="17" xfId="0" applyFont="1" applyFill="1" applyBorder="1" applyProtection="1"/>
    <xf numFmtId="0" fontId="24" fillId="25" borderId="17" xfId="0" applyFont="1" applyFill="1" applyBorder="1" applyProtection="1"/>
    <xf numFmtId="171" fontId="24" fillId="25" borderId="17" xfId="0" applyNumberFormat="1" applyFont="1" applyFill="1" applyBorder="1" applyProtection="1"/>
    <xf numFmtId="49" fontId="54" fillId="25" borderId="17" xfId="0" applyNumberFormat="1" applyFont="1" applyFill="1" applyBorder="1" applyAlignment="1" applyProtection="1">
      <alignment horizontal="center" vertical="top"/>
    </xf>
    <xf numFmtId="0" fontId="24" fillId="25" borderId="18" xfId="0" applyFont="1" applyFill="1" applyBorder="1" applyProtection="1"/>
    <xf numFmtId="49" fontId="57" fillId="0" borderId="107" xfId="0" applyNumberFormat="1" applyFont="1" applyFill="1" applyBorder="1" applyAlignment="1" applyProtection="1">
      <alignment vertical="center"/>
    </xf>
    <xf numFmtId="0" fontId="139" fillId="27" borderId="123" xfId="69" applyFont="1" applyFill="1" applyBorder="1" applyAlignment="1" applyProtection="1">
      <alignment horizontal="center" vertical="center"/>
    </xf>
    <xf numFmtId="0" fontId="139" fillId="25" borderId="123" xfId="69" applyNumberFormat="1" applyFont="1" applyFill="1" applyBorder="1" applyAlignment="1" applyProtection="1">
      <alignment horizontal="center" vertical="center"/>
    </xf>
    <xf numFmtId="182" fontId="142" fillId="25" borderId="123" xfId="69" applyNumberFormat="1" applyFont="1" applyFill="1" applyBorder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171" fontId="66" fillId="29" borderId="123" xfId="0" applyNumberFormat="1" applyFont="1" applyFill="1" applyBorder="1" applyAlignment="1" applyProtection="1">
      <alignment horizontal="center" vertical="center" wrapText="1"/>
    </xf>
    <xf numFmtId="0" fontId="15" fillId="25" borderId="0" xfId="0" applyNumberFormat="1" applyFont="1" applyFill="1" applyProtection="1"/>
    <xf numFmtId="0" fontId="62" fillId="25" borderId="17" xfId="0" applyNumberFormat="1" applyFont="1" applyFill="1" applyBorder="1" applyAlignment="1" applyProtection="1">
      <alignment vertical="center"/>
    </xf>
    <xf numFmtId="0" fontId="57" fillId="27" borderId="34" xfId="0" applyFont="1" applyFill="1" applyBorder="1" applyAlignment="1" applyProtection="1">
      <alignment horizontal="center" vertical="center"/>
    </xf>
    <xf numFmtId="180" fontId="25" fillId="25" borderId="34" xfId="0" applyNumberFormat="1" applyFont="1" applyFill="1" applyBorder="1" applyAlignment="1" applyProtection="1">
      <alignment horizontal="center" vertical="center" shrinkToFit="1"/>
    </xf>
    <xf numFmtId="0" fontId="25" fillId="25" borderId="34" xfId="0" applyNumberFormat="1" applyFont="1" applyFill="1" applyBorder="1" applyAlignment="1" applyProtection="1">
      <alignment horizontal="center" vertical="center"/>
    </xf>
    <xf numFmtId="0" fontId="25" fillId="25" borderId="15" xfId="0" applyNumberFormat="1" applyFont="1" applyFill="1" applyBorder="1" applyAlignment="1" applyProtection="1">
      <alignment horizontal="center" vertical="center"/>
    </xf>
    <xf numFmtId="0" fontId="25" fillId="25" borderId="15" xfId="0" applyNumberFormat="1" applyFont="1" applyFill="1" applyBorder="1" applyAlignment="1" applyProtection="1"/>
    <xf numFmtId="0" fontId="25" fillId="25" borderId="15" xfId="0" applyNumberFormat="1" applyFont="1" applyFill="1" applyBorder="1" applyAlignment="1" applyProtection="1">
      <alignment horizontal="left" indent="1" shrinkToFit="1"/>
    </xf>
    <xf numFmtId="0" fontId="25" fillId="25" borderId="15" xfId="0" applyFont="1" applyFill="1" applyBorder="1" applyAlignment="1" applyProtection="1">
      <alignment horizontal="left" indent="1" shrinkToFit="1"/>
    </xf>
    <xf numFmtId="0" fontId="57" fillId="26" borderId="9" xfId="0" applyFont="1" applyFill="1" applyBorder="1" applyAlignment="1" applyProtection="1">
      <alignment horizontal="center" vertical="center"/>
    </xf>
    <xf numFmtId="0" fontId="57" fillId="26" borderId="13" xfId="0" applyFont="1" applyFill="1" applyBorder="1" applyAlignment="1" applyProtection="1">
      <alignment horizontal="center" vertical="center"/>
    </xf>
    <xf numFmtId="0" fontId="57" fillId="26" borderId="11" xfId="0" applyFont="1" applyFill="1" applyBorder="1" applyAlignment="1" applyProtection="1">
      <alignment horizontal="center" vertical="center"/>
    </xf>
    <xf numFmtId="0" fontId="57" fillId="26" borderId="17" xfId="0" applyFont="1" applyFill="1" applyBorder="1" applyAlignment="1" applyProtection="1">
      <alignment horizontal="center" vertical="center"/>
    </xf>
    <xf numFmtId="0" fontId="57" fillId="26" borderId="11" xfId="0" applyNumberFormat="1" applyFont="1" applyFill="1" applyBorder="1" applyAlignment="1" applyProtection="1">
      <alignment horizontal="center" vertical="center"/>
    </xf>
    <xf numFmtId="0" fontId="57" fillId="26" borderId="18" xfId="0" applyFont="1" applyFill="1" applyBorder="1" applyAlignment="1" applyProtection="1">
      <alignment horizontal="center" vertical="center"/>
    </xf>
    <xf numFmtId="0" fontId="25" fillId="25" borderId="27" xfId="0" quotePrefix="1" applyFont="1" applyFill="1" applyBorder="1" applyAlignment="1" applyProtection="1">
      <alignment horizontal="center" vertical="center"/>
    </xf>
    <xf numFmtId="0" fontId="25" fillId="25" borderId="30" xfId="0" quotePrefix="1" applyFont="1" applyFill="1" applyBorder="1" applyAlignment="1" applyProtection="1">
      <alignment vertical="center"/>
    </xf>
    <xf numFmtId="4" fontId="17" fillId="25" borderId="30" xfId="0" applyNumberFormat="1" applyFont="1" applyFill="1" applyBorder="1" applyAlignment="1" applyProtection="1">
      <alignment horizontal="center" vertical="center"/>
    </xf>
    <xf numFmtId="171" fontId="17" fillId="25" borderId="28" xfId="0" applyNumberFormat="1" applyFont="1" applyFill="1" applyBorder="1" applyAlignment="1" applyProtection="1">
      <alignment vertical="center" wrapText="1"/>
    </xf>
    <xf numFmtId="0" fontId="25" fillId="25" borderId="30" xfId="0" applyFont="1" applyFill="1" applyBorder="1" applyAlignment="1" applyProtection="1">
      <alignment vertical="center"/>
    </xf>
    <xf numFmtId="0" fontId="25" fillId="25" borderId="30" xfId="0" quotePrefix="1" applyFont="1" applyFill="1" applyBorder="1" applyAlignment="1" applyProtection="1">
      <alignment horizontal="center" vertical="center"/>
    </xf>
    <xf numFmtId="0" fontId="24" fillId="25" borderId="11" xfId="0" quotePrefix="1" applyFont="1" applyFill="1" applyBorder="1" applyAlignment="1" applyProtection="1">
      <alignment horizontal="center"/>
    </xf>
    <xf numFmtId="0" fontId="24" fillId="25" borderId="17" xfId="0" quotePrefix="1" applyFont="1" applyFill="1" applyBorder="1" applyAlignment="1" applyProtection="1">
      <alignment horizontal="center"/>
    </xf>
    <xf numFmtId="4" fontId="15" fillId="25" borderId="17" xfId="0" applyNumberFormat="1" applyFont="1" applyFill="1" applyBorder="1" applyAlignment="1" applyProtection="1">
      <alignment horizontal="center" vertical="center"/>
    </xf>
    <xf numFmtId="0" fontId="24" fillId="25" borderId="11" xfId="0" applyNumberFormat="1" applyFont="1" applyFill="1" applyBorder="1" applyAlignment="1" applyProtection="1">
      <alignment vertical="center"/>
    </xf>
    <xf numFmtId="171" fontId="15" fillId="25" borderId="18" xfId="0" applyNumberFormat="1" applyFont="1" applyFill="1" applyBorder="1" applyAlignment="1" applyProtection="1">
      <alignment vertical="center" wrapText="1"/>
    </xf>
    <xf numFmtId="0" fontId="24" fillId="25" borderId="0" xfId="0" quotePrefix="1" applyFont="1" applyFill="1" applyBorder="1" applyAlignment="1" applyProtection="1">
      <alignment horizontal="center"/>
    </xf>
    <xf numFmtId="4" fontId="15" fillId="25" borderId="0" xfId="0" applyNumberFormat="1" applyFont="1" applyFill="1" applyBorder="1" applyAlignment="1" applyProtection="1">
      <alignment horizontal="center" vertical="center"/>
    </xf>
    <xf numFmtId="0" fontId="24" fillId="25" borderId="0" xfId="0" applyNumberFormat="1" applyFont="1" applyFill="1" applyBorder="1" applyAlignment="1" applyProtection="1">
      <alignment vertical="center"/>
    </xf>
    <xf numFmtId="171" fontId="15" fillId="25" borderId="0" xfId="0" applyNumberFormat="1" applyFont="1" applyFill="1" applyBorder="1" applyAlignment="1" applyProtection="1">
      <alignment vertical="center" wrapText="1"/>
    </xf>
    <xf numFmtId="0" fontId="25" fillId="25" borderId="0" xfId="0" quotePrefix="1" applyFont="1" applyFill="1" applyBorder="1" applyAlignment="1" applyProtection="1">
      <alignment horizontal="center"/>
    </xf>
    <xf numFmtId="4" fontId="19" fillId="25" borderId="0" xfId="0" applyNumberFormat="1" applyFont="1" applyFill="1" applyBorder="1" applyAlignment="1" applyProtection="1">
      <alignment horizontal="center" vertical="center"/>
    </xf>
    <xf numFmtId="0" fontId="25" fillId="25" borderId="0" xfId="0" applyNumberFormat="1" applyFont="1" applyFill="1" applyBorder="1" applyAlignment="1" applyProtection="1">
      <alignment horizontal="center"/>
    </xf>
    <xf numFmtId="171" fontId="19" fillId="25" borderId="0" xfId="0" applyNumberFormat="1" applyFont="1" applyFill="1" applyBorder="1" applyAlignment="1" applyProtection="1">
      <alignment horizontal="center" vertical="center"/>
    </xf>
    <xf numFmtId="0" fontId="24" fillId="25" borderId="0" xfId="0" applyNumberFormat="1" applyFont="1" applyFill="1" applyProtection="1"/>
    <xf numFmtId="171" fontId="24" fillId="25" borderId="0" xfId="0" applyNumberFormat="1" applyFont="1" applyFill="1" applyAlignment="1" applyProtection="1">
      <alignment horizontal="center"/>
    </xf>
    <xf numFmtId="0" fontId="53" fillId="25" borderId="0" xfId="0" applyNumberFormat="1" applyFont="1" applyFill="1" applyBorder="1" applyAlignment="1" applyProtection="1">
      <alignment horizontal="center"/>
    </xf>
    <xf numFmtId="0" fontId="53" fillId="25" borderId="0" xfId="0" applyFont="1" applyFill="1" applyBorder="1" applyAlignment="1" applyProtection="1"/>
    <xf numFmtId="0" fontId="54" fillId="25" borderId="0" xfId="0" applyNumberFormat="1" applyFont="1" applyFill="1" applyBorder="1" applyAlignment="1" applyProtection="1">
      <alignment horizontal="center" vertical="top"/>
    </xf>
    <xf numFmtId="0" fontId="27" fillId="0" borderId="0" xfId="76" applyFont="1" applyFill="1" applyAlignment="1" applyProtection="1"/>
    <xf numFmtId="49" fontId="27" fillId="0" borderId="0" xfId="76" applyNumberFormat="1" applyFont="1" applyFill="1" applyAlignment="1" applyProtection="1"/>
    <xf numFmtId="49" fontId="27" fillId="0" borderId="0" xfId="76" applyNumberFormat="1" applyFont="1" applyFill="1" applyAlignment="1" applyProtection="1">
      <alignment horizontal="center"/>
    </xf>
    <xf numFmtId="0" fontId="27" fillId="25" borderId="0" xfId="76" applyFont="1" applyFill="1" applyAlignment="1" applyProtection="1"/>
    <xf numFmtId="0" fontId="115" fillId="25" borderId="0" xfId="76" applyFont="1" applyFill="1" applyAlignment="1" applyProtection="1"/>
    <xf numFmtId="0" fontId="49" fillId="0" borderId="0" xfId="76" applyFont="1" applyFill="1" applyAlignment="1" applyProtection="1"/>
    <xf numFmtId="49" fontId="49" fillId="0" borderId="0" xfId="76" applyNumberFormat="1" applyFont="1" applyFill="1" applyAlignment="1" applyProtection="1"/>
    <xf numFmtId="49" fontId="49" fillId="0" borderId="0" xfId="76" applyNumberFormat="1" applyFont="1" applyFill="1" applyAlignment="1" applyProtection="1">
      <alignment horizontal="center"/>
    </xf>
    <xf numFmtId="49" fontId="49" fillId="0" borderId="19" xfId="76" applyNumberFormat="1" applyFont="1" applyFill="1" applyBorder="1" applyAlignment="1" applyProtection="1"/>
    <xf numFmtId="0" fontId="8" fillId="0" borderId="0" xfId="76" applyNumberFormat="1" applyFont="1" applyFill="1" applyAlignment="1" applyProtection="1">
      <alignment shrinkToFit="1"/>
    </xf>
    <xf numFmtId="0" fontId="49" fillId="0" borderId="0" xfId="76" applyNumberFormat="1" applyFont="1" applyFill="1" applyAlignment="1" applyProtection="1"/>
    <xf numFmtId="49" fontId="49" fillId="0" borderId="0" xfId="76" applyNumberFormat="1" applyFont="1" applyFill="1" applyAlignment="1" applyProtection="1">
      <alignment vertical="top"/>
    </xf>
    <xf numFmtId="49" fontId="59" fillId="0" borderId="21" xfId="76" applyNumberFormat="1" applyFont="1" applyFill="1" applyBorder="1" applyAlignment="1" applyProtection="1">
      <alignment horizontal="left" indent="1"/>
    </xf>
    <xf numFmtId="49" fontId="27" fillId="25" borderId="0" xfId="76" applyNumberFormat="1" applyFont="1" applyFill="1" applyAlignment="1" applyProtection="1"/>
    <xf numFmtId="49" fontId="115" fillId="25" borderId="0" xfId="76" applyNumberFormat="1" applyFont="1" applyFill="1" applyAlignment="1" applyProtection="1"/>
    <xf numFmtId="0" fontId="18" fillId="0" borderId="0" xfId="76" applyFont="1" applyFill="1" applyAlignment="1" applyProtection="1">
      <alignment vertical="center"/>
    </xf>
    <xf numFmtId="0" fontId="28" fillId="0" borderId="12" xfId="76" applyFont="1" applyFill="1" applyBorder="1" applyAlignment="1" applyProtection="1">
      <alignment horizontal="center" vertical="center" textRotation="90"/>
    </xf>
    <xf numFmtId="49" fontId="49" fillId="0" borderId="9" xfId="76" applyNumberFormat="1" applyFont="1" applyFill="1" applyBorder="1" applyAlignment="1" applyProtection="1">
      <alignment vertical="center"/>
    </xf>
    <xf numFmtId="49" fontId="49" fillId="0" borderId="13" xfId="76" applyNumberFormat="1" applyFont="1" applyFill="1" applyBorder="1" applyAlignment="1" applyProtection="1">
      <alignment vertical="center"/>
    </xf>
    <xf numFmtId="0" fontId="19" fillId="0" borderId="13" xfId="76" applyNumberFormat="1" applyFont="1" applyFill="1" applyBorder="1" applyAlignment="1" applyProtection="1">
      <alignment vertical="center"/>
    </xf>
    <xf numFmtId="49" fontId="18" fillId="0" borderId="14" xfId="76" applyNumberFormat="1" applyFont="1" applyFill="1" applyBorder="1" applyAlignment="1" applyProtection="1">
      <alignment horizontal="left" vertical="center"/>
    </xf>
    <xf numFmtId="49" fontId="49" fillId="0" borderId="14" xfId="76" applyNumberFormat="1" applyFont="1" applyFill="1" applyBorder="1" applyAlignment="1" applyProtection="1">
      <alignment vertical="center"/>
    </xf>
    <xf numFmtId="49" fontId="49" fillId="0" borderId="10" xfId="76" applyNumberFormat="1" applyFont="1" applyFill="1" applyBorder="1" applyAlignment="1" applyProtection="1">
      <alignment vertical="center"/>
    </xf>
    <xf numFmtId="49" fontId="49" fillId="0" borderId="0" xfId="76" applyNumberFormat="1" applyFont="1" applyFill="1" applyBorder="1" applyAlignment="1" applyProtection="1">
      <alignment vertical="center"/>
    </xf>
    <xf numFmtId="49" fontId="19" fillId="0" borderId="0" xfId="76" applyNumberFormat="1" applyFont="1" applyFill="1" applyBorder="1" applyAlignment="1" applyProtection="1">
      <alignment vertical="center"/>
    </xf>
    <xf numFmtId="49" fontId="18" fillId="0" borderId="12" xfId="76" applyNumberFormat="1" applyFont="1" applyFill="1" applyBorder="1" applyAlignment="1" applyProtection="1">
      <alignment horizontal="left" vertical="center"/>
    </xf>
    <xf numFmtId="0" fontId="19" fillId="0" borderId="10" xfId="76" applyNumberFormat="1" applyFont="1" applyFill="1" applyBorder="1" applyAlignment="1" applyProtection="1">
      <alignment horizontal="left" vertical="center" indent="1" shrinkToFit="1"/>
    </xf>
    <xf numFmtId="0" fontId="19" fillId="0" borderId="0" xfId="76" applyNumberFormat="1" applyFont="1" applyFill="1" applyBorder="1" applyAlignment="1" applyProtection="1">
      <alignment vertical="center"/>
    </xf>
    <xf numFmtId="49" fontId="49" fillId="0" borderId="11" xfId="76" applyNumberFormat="1" applyFont="1" applyFill="1" applyBorder="1" applyAlignment="1" applyProtection="1">
      <alignment vertical="center"/>
    </xf>
    <xf numFmtId="49" fontId="49" fillId="0" borderId="17" xfId="76" applyNumberFormat="1" applyFont="1" applyFill="1" applyBorder="1" applyAlignment="1" applyProtection="1">
      <alignment vertical="center"/>
    </xf>
    <xf numFmtId="49" fontId="19" fillId="0" borderId="17" xfId="76" applyNumberFormat="1" applyFont="1" applyFill="1" applyBorder="1" applyAlignment="1" applyProtection="1">
      <alignment vertical="center"/>
    </xf>
    <xf numFmtId="0" fontId="19" fillId="0" borderId="17" xfId="76" applyNumberFormat="1" applyFont="1" applyFill="1" applyBorder="1" applyAlignment="1" applyProtection="1">
      <alignment vertical="center"/>
    </xf>
    <xf numFmtId="49" fontId="18" fillId="0" borderId="18" xfId="76" applyNumberFormat="1" applyFont="1" applyFill="1" applyBorder="1" applyAlignment="1" applyProtection="1">
      <alignment horizontal="left" vertical="center"/>
    </xf>
    <xf numFmtId="49" fontId="18" fillId="0" borderId="17" xfId="76" applyNumberFormat="1" applyFont="1" applyFill="1" applyBorder="1" applyAlignment="1" applyProtection="1">
      <alignment vertical="center"/>
    </xf>
    <xf numFmtId="49" fontId="18" fillId="0" borderId="11" xfId="76" applyNumberFormat="1" applyFont="1" applyFill="1" applyBorder="1" applyAlignment="1" applyProtection="1">
      <alignment horizontal="center" vertical="center"/>
    </xf>
    <xf numFmtId="49" fontId="18" fillId="0" borderId="18" xfId="76" applyNumberFormat="1" applyFont="1" applyFill="1" applyBorder="1" applyAlignment="1" applyProtection="1">
      <alignment vertical="center"/>
    </xf>
    <xf numFmtId="49" fontId="49" fillId="0" borderId="10" xfId="76" applyNumberFormat="1" applyFont="1" applyFill="1" applyBorder="1" applyAlignment="1" applyProtection="1">
      <alignment vertical="top"/>
    </xf>
    <xf numFmtId="49" fontId="49" fillId="0" borderId="0" xfId="76" applyNumberFormat="1" applyFont="1" applyFill="1" applyBorder="1" applyAlignment="1" applyProtection="1">
      <alignment vertical="top"/>
    </xf>
    <xf numFmtId="49" fontId="49" fillId="0" borderId="0" xfId="76" applyNumberFormat="1" applyFont="1" applyFill="1" applyBorder="1" applyAlignment="1" applyProtection="1"/>
    <xf numFmtId="49" fontId="49" fillId="0" borderId="12" xfId="76" applyNumberFormat="1" applyFont="1" applyFill="1" applyBorder="1" applyAlignment="1" applyProtection="1">
      <alignment horizontal="left"/>
    </xf>
    <xf numFmtId="49" fontId="49" fillId="0" borderId="0" xfId="76" applyNumberFormat="1" applyFont="1" applyFill="1" applyBorder="1" applyAlignment="1" applyProtection="1">
      <alignment horizontal="center"/>
    </xf>
    <xf numFmtId="49" fontId="49" fillId="0" borderId="12" xfId="76" applyNumberFormat="1" applyFont="1" applyFill="1" applyBorder="1" applyAlignment="1" applyProtection="1">
      <alignment vertical="top"/>
    </xf>
    <xf numFmtId="0" fontId="34" fillId="0" borderId="0" xfId="76" applyFont="1" applyFill="1" applyAlignment="1" applyProtection="1">
      <alignment vertical="center"/>
    </xf>
    <xf numFmtId="49" fontId="61" fillId="0" borderId="11" xfId="76" applyNumberFormat="1" applyFont="1" applyFill="1" applyBorder="1" applyAlignment="1" applyProtection="1">
      <alignment horizontal="left" vertical="center" indent="1"/>
    </xf>
    <xf numFmtId="49" fontId="61" fillId="0" borderId="17" xfId="76" applyNumberFormat="1" applyFont="1" applyFill="1" applyBorder="1" applyAlignment="1" applyProtection="1">
      <alignment horizontal="left" vertical="center" indent="1"/>
    </xf>
    <xf numFmtId="49" fontId="61" fillId="0" borderId="18" xfId="76" applyNumberFormat="1" applyFont="1" applyFill="1" applyBorder="1" applyAlignment="1" applyProtection="1">
      <alignment horizontal="left" vertical="center" indent="1"/>
    </xf>
    <xf numFmtId="0" fontId="35" fillId="0" borderId="17" xfId="76" applyNumberFormat="1" applyFont="1" applyFill="1" applyBorder="1" applyAlignment="1" applyProtection="1">
      <alignment vertical="center" shrinkToFit="1"/>
    </xf>
    <xf numFmtId="0" fontId="49" fillId="0" borderId="18" xfId="76" applyNumberFormat="1" applyFont="1" applyFill="1" applyBorder="1" applyAlignment="1" applyProtection="1">
      <alignment vertical="center" shrinkToFit="1"/>
    </xf>
    <xf numFmtId="0" fontId="49" fillId="0" borderId="0" xfId="76" applyFont="1" applyFill="1" applyAlignment="1" applyProtection="1">
      <alignment vertical="center"/>
    </xf>
    <xf numFmtId="49" fontId="49" fillId="0" borderId="13" xfId="76" applyNumberFormat="1" applyFont="1" applyFill="1" applyBorder="1" applyAlignment="1" applyProtection="1">
      <alignment vertical="center" wrapText="1"/>
    </xf>
    <xf numFmtId="49" fontId="59" fillId="0" borderId="0" xfId="76" applyNumberFormat="1" applyFont="1" applyFill="1" applyBorder="1" applyAlignment="1" applyProtection="1">
      <alignment horizontal="left" vertical="center" indent="1"/>
    </xf>
    <xf numFmtId="1" fontId="49" fillId="0" borderId="11" xfId="76" applyNumberFormat="1" applyFont="1" applyFill="1" applyBorder="1" applyAlignment="1" applyProtection="1">
      <alignment horizontal="left" vertical="center" indent="1"/>
    </xf>
    <xf numFmtId="49" fontId="49" fillId="0" borderId="18" xfId="76" applyNumberFormat="1" applyFont="1" applyFill="1" applyBorder="1" applyAlignment="1" applyProtection="1">
      <alignment vertical="top"/>
    </xf>
    <xf numFmtId="49" fontId="117" fillId="0" borderId="11" xfId="76" applyNumberFormat="1" applyFont="1" applyFill="1" applyBorder="1" applyAlignment="1" applyProtection="1">
      <alignment horizontal="center" vertical="center"/>
    </xf>
    <xf numFmtId="49" fontId="49" fillId="0" borderId="17" xfId="76" applyNumberFormat="1" applyFont="1" applyFill="1" applyBorder="1" applyAlignment="1" applyProtection="1">
      <alignment vertical="center" wrapText="1"/>
    </xf>
    <xf numFmtId="49" fontId="49" fillId="0" borderId="18" xfId="76" applyNumberFormat="1" applyFont="1" applyFill="1" applyBorder="1" applyAlignment="1" applyProtection="1">
      <alignment vertical="center"/>
    </xf>
    <xf numFmtId="0" fontId="49" fillId="0" borderId="0" xfId="76" applyFont="1" applyFill="1" applyAlignment="1" applyProtection="1">
      <alignment vertical="top"/>
    </xf>
    <xf numFmtId="0" fontId="27" fillId="0" borderId="0" xfId="76" applyFont="1" applyFill="1" applyAlignment="1" applyProtection="1">
      <alignment vertical="center"/>
    </xf>
    <xf numFmtId="49" fontId="8" fillId="0" borderId="27" xfId="76" applyNumberFormat="1" applyFont="1" applyFill="1" applyBorder="1" applyAlignment="1" applyProtection="1">
      <alignment horizontal="left" vertical="center" indent="1"/>
    </xf>
    <xf numFmtId="49" fontId="64" fillId="32" borderId="28" xfId="76" applyNumberFormat="1" applyFont="1" applyFill="1" applyBorder="1" applyAlignment="1" applyProtection="1">
      <alignment horizontal="center" vertical="center" wrapText="1"/>
    </xf>
    <xf numFmtId="49" fontId="112" fillId="0" borderId="29" xfId="76" applyNumberFormat="1" applyFont="1" applyFill="1" applyBorder="1" applyAlignment="1" applyProtection="1">
      <alignment horizontal="center" vertical="center"/>
    </xf>
    <xf numFmtId="1" fontId="11" fillId="32" borderId="100" xfId="76" quotePrefix="1" applyNumberFormat="1" applyFont="1" applyFill="1" applyBorder="1" applyAlignment="1" applyProtection="1">
      <alignment horizontal="center" vertical="center"/>
    </xf>
    <xf numFmtId="49" fontId="35" fillId="32" borderId="99" xfId="76" applyNumberFormat="1" applyFont="1" applyFill="1" applyBorder="1" applyAlignment="1" applyProtection="1">
      <alignment horizontal="center" vertical="center" wrapText="1"/>
    </xf>
    <xf numFmtId="49" fontId="112" fillId="0" borderId="28" xfId="76" applyNumberFormat="1" applyFont="1" applyFill="1" applyBorder="1" applyAlignment="1" applyProtection="1">
      <alignment horizontal="center" vertical="center"/>
    </xf>
    <xf numFmtId="0" fontId="8" fillId="0" borderId="27" xfId="76" applyNumberFormat="1" applyFont="1" applyFill="1" applyBorder="1" applyAlignment="1" applyProtection="1">
      <alignment horizontal="center" vertical="center" wrapText="1"/>
    </xf>
    <xf numFmtId="0" fontId="8" fillId="0" borderId="28" xfId="76" applyNumberFormat="1" applyFont="1" applyFill="1" applyBorder="1" applyAlignment="1" applyProtection="1">
      <alignment horizontal="center" vertical="center" wrapText="1"/>
    </xf>
    <xf numFmtId="49" fontId="8" fillId="0" borderId="27" xfId="76" applyNumberFormat="1" applyFont="1" applyFill="1" applyBorder="1" applyAlignment="1" applyProtection="1">
      <alignment vertical="top"/>
    </xf>
    <xf numFmtId="0" fontId="111" fillId="25" borderId="30" xfId="76" applyNumberFormat="1" applyFont="1" applyFill="1" applyBorder="1" applyAlignment="1" applyProtection="1">
      <alignment vertical="top"/>
    </xf>
    <xf numFmtId="0" fontId="111" fillId="25" borderId="28" xfId="76" applyNumberFormat="1" applyFont="1" applyFill="1" applyBorder="1" applyAlignment="1" applyProtection="1">
      <alignment vertical="top"/>
    </xf>
    <xf numFmtId="49" fontId="27" fillId="0" borderId="27" xfId="76" applyNumberFormat="1" applyFont="1" applyFill="1" applyBorder="1" applyAlignment="1" applyProtection="1">
      <alignment horizontal="center" vertical="center" wrapText="1"/>
    </xf>
    <xf numFmtId="49" fontId="27" fillId="0" borderId="28" xfId="76" applyNumberFormat="1" applyFont="1" applyFill="1" applyBorder="1" applyAlignment="1" applyProtection="1">
      <alignment horizontal="center" vertical="center" wrapText="1"/>
    </xf>
    <xf numFmtId="49" fontId="49" fillId="0" borderId="29" xfId="76" applyNumberFormat="1" applyFont="1" applyFill="1" applyBorder="1" applyAlignment="1" applyProtection="1">
      <alignment horizontal="center" vertical="center"/>
    </xf>
    <xf numFmtId="0" fontId="8" fillId="25" borderId="30" xfId="76" applyNumberFormat="1" applyFont="1" applyFill="1" applyBorder="1" applyAlignment="1" applyProtection="1">
      <alignment vertical="center"/>
    </xf>
    <xf numFmtId="0" fontId="8" fillId="25" borderId="28" xfId="76" applyNumberFormat="1" applyFont="1" applyFill="1" applyBorder="1" applyAlignment="1" applyProtection="1">
      <alignment vertical="center"/>
    </xf>
    <xf numFmtId="0" fontId="27" fillId="0" borderId="27" xfId="76" applyNumberFormat="1" applyFont="1" applyFill="1" applyBorder="1" applyAlignment="1" applyProtection="1">
      <alignment horizontal="center" vertical="center"/>
    </xf>
    <xf numFmtId="0" fontId="27" fillId="0" borderId="28" xfId="76" applyNumberFormat="1" applyFont="1" applyFill="1" applyBorder="1" applyAlignment="1" applyProtection="1">
      <alignment horizontal="center" vertical="center"/>
    </xf>
    <xf numFmtId="0" fontId="27" fillId="25" borderId="0" xfId="76" applyFont="1" applyFill="1" applyAlignment="1" applyProtection="1">
      <alignment vertical="center"/>
    </xf>
    <xf numFmtId="49" fontId="111" fillId="0" borderId="39" xfId="76" applyNumberFormat="1" applyFont="1" applyFill="1" applyBorder="1" applyAlignment="1" applyProtection="1">
      <alignment horizontal="left" vertical="center" indent="1"/>
    </xf>
    <xf numFmtId="0" fontId="111" fillId="25" borderId="40" xfId="76" applyNumberFormat="1" applyFont="1" applyFill="1" applyBorder="1" applyAlignment="1" applyProtection="1">
      <alignment vertical="center"/>
    </xf>
    <xf numFmtId="0" fontId="111" fillId="25" borderId="41" xfId="76" applyNumberFormat="1" applyFont="1" applyFill="1" applyBorder="1" applyAlignment="1" applyProtection="1">
      <alignment vertical="center"/>
    </xf>
    <xf numFmtId="49" fontId="8" fillId="0" borderId="39" xfId="76" applyNumberFormat="1" applyFont="1" applyFill="1" applyBorder="1" applyAlignment="1" applyProtection="1">
      <alignment horizontal="left" vertical="center" indent="1"/>
    </xf>
    <xf numFmtId="0" fontId="8" fillId="25" borderId="40" xfId="76" applyNumberFormat="1" applyFont="1" applyFill="1" applyBorder="1" applyAlignment="1" applyProtection="1">
      <alignment vertical="center"/>
    </xf>
    <xf numFmtId="0" fontId="8" fillId="25" borderId="41" xfId="76" applyNumberFormat="1" applyFont="1" applyFill="1" applyBorder="1" applyAlignment="1" applyProtection="1">
      <alignment vertical="center"/>
    </xf>
    <xf numFmtId="0" fontId="8" fillId="25" borderId="35" xfId="76" applyNumberFormat="1" applyFont="1" applyFill="1" applyBorder="1" applyAlignment="1" applyProtection="1">
      <alignment horizontal="left" vertical="center" indent="1"/>
    </xf>
    <xf numFmtId="0" fontId="8" fillId="25" borderId="36" xfId="76" applyNumberFormat="1" applyFont="1" applyFill="1" applyBorder="1" applyAlignment="1" applyProtection="1">
      <alignment vertical="center"/>
    </xf>
    <xf numFmtId="0" fontId="8" fillId="25" borderId="37" xfId="76" applyNumberFormat="1" applyFont="1" applyFill="1" applyBorder="1" applyAlignment="1" applyProtection="1">
      <alignment vertical="center"/>
    </xf>
    <xf numFmtId="49" fontId="49" fillId="0" borderId="72" xfId="76" applyNumberFormat="1" applyFont="1" applyFill="1" applyBorder="1" applyAlignment="1" applyProtection="1">
      <alignment horizontal="center" vertical="center"/>
    </xf>
    <xf numFmtId="0" fontId="8" fillId="0" borderId="17" xfId="76" applyNumberFormat="1" applyFont="1" applyFill="1" applyBorder="1" applyAlignment="1" applyProtection="1">
      <alignment horizontal="center" vertical="center" wrapText="1"/>
    </xf>
    <xf numFmtId="0" fontId="8" fillId="0" borderId="18" xfId="76" applyNumberFormat="1" applyFont="1" applyFill="1" applyBorder="1" applyAlignment="1" applyProtection="1">
      <alignment horizontal="center" vertical="center" wrapText="1"/>
    </xf>
    <xf numFmtId="0" fontId="28" fillId="0" borderId="0" xfId="76" applyFont="1" applyFill="1" applyBorder="1" applyAlignment="1" applyProtection="1">
      <alignment horizontal="center" vertical="center" textRotation="90"/>
    </xf>
    <xf numFmtId="49" fontId="51" fillId="25" borderId="67" xfId="76" applyNumberFormat="1" applyFont="1" applyFill="1" applyBorder="1" applyAlignment="1" applyProtection="1">
      <alignment vertical="top"/>
    </xf>
    <xf numFmtId="49" fontId="51" fillId="25" borderId="0" xfId="76" applyNumberFormat="1" applyFont="1" applyFill="1" applyBorder="1" applyAlignment="1" applyProtection="1">
      <alignment vertical="top"/>
    </xf>
    <xf numFmtId="49" fontId="32" fillId="25" borderId="0" xfId="76" applyNumberFormat="1" applyFont="1" applyFill="1" applyBorder="1" applyAlignment="1" applyProtection="1"/>
    <xf numFmtId="49" fontId="32" fillId="25" borderId="0" xfId="76" applyNumberFormat="1" applyFont="1" applyFill="1" applyBorder="1" applyAlignment="1" applyProtection="1">
      <alignment horizontal="center"/>
    </xf>
    <xf numFmtId="49" fontId="49" fillId="0" borderId="0" xfId="76" applyNumberFormat="1" applyFont="1" applyFill="1" applyBorder="1" applyAlignment="1" applyProtection="1">
      <alignment horizontal="center" vertical="center"/>
    </xf>
    <xf numFmtId="0" fontId="8" fillId="0" borderId="0" xfId="76" applyNumberFormat="1" applyFont="1" applyFill="1" applyBorder="1" applyAlignment="1" applyProtection="1">
      <alignment horizontal="center" vertical="center" wrapText="1"/>
    </xf>
    <xf numFmtId="49" fontId="27" fillId="25" borderId="0" xfId="76" applyNumberFormat="1" applyFont="1" applyFill="1" applyBorder="1" applyAlignment="1" applyProtection="1"/>
    <xf numFmtId="49" fontId="27" fillId="25" borderId="0" xfId="76" applyNumberFormat="1" applyFont="1" applyFill="1" applyAlignment="1" applyProtection="1">
      <alignment horizontal="center"/>
    </xf>
    <xf numFmtId="169" fontId="27" fillId="25" borderId="0" xfId="76" applyNumberFormat="1" applyFont="1" applyFill="1" applyBorder="1" applyAlignment="1" applyProtection="1">
      <alignment horizontal="center" vertical="center"/>
    </xf>
    <xf numFmtId="49" fontId="8" fillId="25" borderId="0" xfId="76" applyNumberFormat="1" applyFont="1" applyFill="1" applyBorder="1" applyAlignment="1" applyProtection="1">
      <alignment horizontal="left" vertical="center"/>
    </xf>
    <xf numFmtId="49" fontId="40" fillId="25" borderId="0" xfId="76" applyNumberFormat="1" applyFont="1" applyFill="1" applyAlignment="1" applyProtection="1"/>
    <xf numFmtId="0" fontId="41" fillId="25" borderId="0" xfId="76" applyFont="1" applyFill="1" applyProtection="1"/>
    <xf numFmtId="0" fontId="49" fillId="25" borderId="0" xfId="76" applyFont="1" applyFill="1" applyAlignment="1" applyProtection="1">
      <alignment vertical="center" wrapText="1"/>
    </xf>
    <xf numFmtId="0" fontId="36" fillId="25" borderId="0" xfId="76" applyFont="1" applyFill="1" applyAlignment="1" applyProtection="1"/>
    <xf numFmtId="0" fontId="33" fillId="25" borderId="0" xfId="76" applyFont="1" applyFill="1" applyAlignment="1" applyProtection="1">
      <alignment vertical="center" wrapText="1"/>
    </xf>
    <xf numFmtId="0" fontId="40" fillId="25" borderId="0" xfId="76" applyFont="1" applyFill="1" applyAlignment="1" applyProtection="1"/>
    <xf numFmtId="49" fontId="105" fillId="25" borderId="0" xfId="75" applyNumberFormat="1" applyFont="1" applyFill="1" applyBorder="1" applyAlignment="1" applyProtection="1">
      <alignment horizontal="left" vertical="top"/>
    </xf>
    <xf numFmtId="0" fontId="19" fillId="25" borderId="0" xfId="76" applyFont="1" applyFill="1" applyAlignment="1" applyProtection="1">
      <alignment horizontal="center" vertical="center"/>
    </xf>
    <xf numFmtId="49" fontId="104" fillId="0" borderId="55" xfId="75" applyNumberFormat="1" applyFont="1" applyFill="1" applyBorder="1" applyAlignment="1" applyProtection="1"/>
    <xf numFmtId="49" fontId="49" fillId="0" borderId="55" xfId="75" applyNumberFormat="1" applyFont="1" applyFill="1" applyBorder="1" applyAlignment="1" applyProtection="1"/>
    <xf numFmtId="0" fontId="49" fillId="0" borderId="114" xfId="75" applyNumberFormat="1" applyFont="1" applyFill="1" applyBorder="1" applyAlignment="1" applyProtection="1"/>
    <xf numFmtId="49" fontId="49" fillId="0" borderId="114" xfId="75" applyNumberFormat="1" applyFont="1" applyFill="1" applyBorder="1" applyAlignment="1" applyProtection="1">
      <alignment vertical="top"/>
    </xf>
    <xf numFmtId="171" fontId="49" fillId="0" borderId="114" xfId="75" applyNumberFormat="1" applyFont="1" applyFill="1" applyBorder="1" applyAlignment="1" applyProtection="1">
      <alignment vertical="top"/>
    </xf>
    <xf numFmtId="49" fontId="49" fillId="0" borderId="114" xfId="75" applyNumberFormat="1" applyFont="1" applyFill="1" applyBorder="1" applyAlignment="1" applyProtection="1"/>
    <xf numFmtId="49" fontId="60" fillId="0" borderId="55" xfId="75" applyNumberFormat="1" applyFont="1" applyFill="1" applyBorder="1" applyAlignment="1" applyProtection="1"/>
    <xf numFmtId="0" fontId="27" fillId="0" borderId="0" xfId="75" applyFont="1" applyFill="1" applyBorder="1" applyAlignment="1" applyProtection="1"/>
    <xf numFmtId="15" fontId="104" fillId="36" borderId="29" xfId="76" applyNumberFormat="1" applyFont="1" applyFill="1" applyBorder="1" applyAlignment="1" applyProtection="1">
      <alignment horizontal="left" vertical="center" wrapText="1"/>
      <protection locked="0"/>
    </xf>
    <xf numFmtId="0" fontId="8" fillId="30" borderId="29" xfId="0" applyNumberFormat="1" applyFont="1" applyFill="1" applyBorder="1" applyAlignment="1" applyProtection="1">
      <alignment vertical="center" shrinkToFit="1"/>
      <protection locked="0"/>
    </xf>
    <xf numFmtId="0" fontId="151" fillId="0" borderId="117" xfId="109" applyFont="1" applyBorder="1" applyAlignment="1">
      <alignment horizontal="center" vertical="center" wrapText="1"/>
    </xf>
    <xf numFmtId="0" fontId="151" fillId="0" borderId="117" xfId="109" applyFont="1" applyBorder="1" applyAlignment="1" applyProtection="1">
      <alignment horizontal="center" vertical="center" wrapText="1"/>
      <protection locked="0"/>
    </xf>
    <xf numFmtId="49" fontId="30" fillId="28" borderId="0" xfId="0" applyNumberFormat="1" applyFont="1" applyFill="1" applyBorder="1" applyAlignment="1" applyProtection="1">
      <alignment horizontal="center" vertical="center" shrinkToFit="1"/>
    </xf>
    <xf numFmtId="49" fontId="15" fillId="28" borderId="0" xfId="0" applyNumberFormat="1" applyFont="1" applyFill="1" applyBorder="1" applyAlignment="1" applyProtection="1">
      <alignment horizontal="center" vertical="center" shrinkToFit="1"/>
    </xf>
    <xf numFmtId="49" fontId="8" fillId="28" borderId="0" xfId="0" applyNumberFormat="1" applyFont="1" applyFill="1" applyBorder="1" applyAlignment="1" applyProtection="1">
      <alignment horizontal="center" vertical="center" shrinkToFit="1"/>
    </xf>
    <xf numFmtId="0" fontId="19" fillId="25" borderId="0" xfId="76" applyFont="1" applyFill="1" applyAlignment="1" applyProtection="1">
      <alignment horizontal="center" vertical="center"/>
    </xf>
    <xf numFmtId="49" fontId="8" fillId="0" borderId="71" xfId="0" applyNumberFormat="1" applyFont="1" applyFill="1" applyBorder="1" applyAlignment="1" applyProtection="1">
      <alignment horizontal="center" vertical="center" wrapText="1" shrinkToFit="1"/>
    </xf>
    <xf numFmtId="181" fontId="103" fillId="0" borderId="71" xfId="74" applyNumberFormat="1" applyFont="1" applyFill="1" applyBorder="1" applyAlignment="1" applyProtection="1">
      <alignment horizontal="center" vertical="center" wrapText="1"/>
    </xf>
    <xf numFmtId="171" fontId="8" fillId="0" borderId="71" xfId="75" applyNumberFormat="1" applyFont="1" applyFill="1" applyBorder="1" applyAlignment="1" applyProtection="1">
      <alignment horizontal="center" vertical="center"/>
    </xf>
    <xf numFmtId="49" fontId="8" fillId="0" borderId="71" xfId="75" applyNumberFormat="1" applyFont="1" applyFill="1" applyBorder="1" applyAlignment="1" applyProtection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8" fillId="0" borderId="27" xfId="76" applyNumberFormat="1" applyFont="1" applyFill="1" applyBorder="1" applyAlignment="1" applyProtection="1">
      <alignment horizontal="center" vertical="center" wrapText="1"/>
    </xf>
    <xf numFmtId="0" fontId="8" fillId="0" borderId="28" xfId="76" applyNumberFormat="1" applyFont="1" applyFill="1" applyBorder="1" applyAlignment="1" applyProtection="1">
      <alignment horizontal="center" vertical="center" wrapText="1"/>
    </xf>
    <xf numFmtId="49" fontId="8" fillId="30" borderId="29" xfId="0" quotePrefix="1" applyNumberFormat="1" applyFont="1" applyFill="1" applyBorder="1" applyAlignment="1" applyProtection="1">
      <alignment horizontal="center" vertical="center" shrinkToFit="1"/>
      <protection locked="0"/>
    </xf>
    <xf numFmtId="1" fontId="8" fillId="30" borderId="29" xfId="0" applyNumberFormat="1" applyFont="1" applyFill="1" applyBorder="1" applyAlignment="1" applyProtection="1">
      <alignment horizontal="center" vertical="center" shrinkToFit="1"/>
    </xf>
    <xf numFmtId="177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177" fontId="8" fillId="30" borderId="29" xfId="0" quotePrefix="1" applyNumberFormat="1" applyFont="1" applyFill="1" applyBorder="1" applyAlignment="1" applyProtection="1">
      <alignment horizontal="center" vertical="center" shrinkToFit="1"/>
      <protection locked="0"/>
    </xf>
    <xf numFmtId="177" fontId="8" fillId="36" borderId="29" xfId="0" applyNumberFormat="1" applyFont="1" applyFill="1" applyBorder="1" applyAlignment="1" applyProtection="1">
      <alignment horizontal="center" vertical="center" shrinkToFit="1"/>
      <protection locked="0"/>
    </xf>
    <xf numFmtId="177" fontId="17" fillId="30" borderId="29" xfId="0" applyNumberFormat="1" applyFont="1" applyFill="1" applyBorder="1" applyAlignment="1" applyProtection="1">
      <alignment horizontal="center" vertical="center" shrinkToFit="1"/>
      <protection locked="0"/>
    </xf>
    <xf numFmtId="49" fontId="66" fillId="29" borderId="123" xfId="0" applyNumberFormat="1" applyFont="1" applyFill="1" applyBorder="1" applyAlignment="1" applyProtection="1">
      <alignment horizontal="center" vertical="center" wrapText="1"/>
    </xf>
    <xf numFmtId="0" fontId="45" fillId="25" borderId="0" xfId="75" applyNumberFormat="1" applyFont="1" applyFill="1" applyBorder="1" applyAlignment="1" applyProtection="1">
      <alignment horizontal="center"/>
    </xf>
    <xf numFmtId="0" fontId="8" fillId="25" borderId="0" xfId="75" applyFont="1" applyFill="1" applyBorder="1" applyAlignment="1" applyProtection="1">
      <alignment horizontal="center"/>
    </xf>
    <xf numFmtId="0" fontId="50" fillId="25" borderId="55" xfId="75" applyFont="1" applyFill="1" applyBorder="1" applyAlignment="1" applyProtection="1">
      <alignment horizontal="center" vertical="center" wrapText="1"/>
    </xf>
    <xf numFmtId="0" fontId="50" fillId="25" borderId="0" xfId="75" applyFont="1" applyFill="1" applyBorder="1" applyAlignment="1" applyProtection="1">
      <alignment horizontal="center" vertical="center" wrapText="1"/>
    </xf>
    <xf numFmtId="49" fontId="49" fillId="0" borderId="54" xfId="75" applyNumberFormat="1" applyFont="1" applyFill="1" applyBorder="1" applyAlignment="1" applyProtection="1">
      <alignment horizontal="center"/>
    </xf>
    <xf numFmtId="0" fontId="121" fillId="25" borderId="101" xfId="69" applyFont="1" applyFill="1" applyBorder="1" applyAlignment="1" applyProtection="1">
      <alignment vertical="center"/>
      <protection locked="0"/>
    </xf>
    <xf numFmtId="17" fontId="121" fillId="0" borderId="92" xfId="69" applyNumberFormat="1" applyFont="1" applyFill="1" applyBorder="1" applyAlignment="1" applyProtection="1">
      <alignment horizontal="center" vertical="center" wrapText="1"/>
      <protection locked="0"/>
    </xf>
    <xf numFmtId="0" fontId="57" fillId="25" borderId="122" xfId="76" applyNumberFormat="1" applyFont="1" applyFill="1" applyBorder="1" applyAlignment="1" applyProtection="1">
      <alignment horizontal="center" vertical="center" wrapText="1"/>
    </xf>
    <xf numFmtId="49" fontId="57" fillId="25" borderId="123" xfId="0" applyNumberFormat="1" applyFont="1" applyFill="1" applyBorder="1" applyAlignment="1" applyProtection="1">
      <alignment horizontal="center" vertical="center" wrapText="1"/>
      <protection locked="0"/>
    </xf>
    <xf numFmtId="49" fontId="57" fillId="25" borderId="40" xfId="76" quotePrefix="1" applyNumberFormat="1" applyFont="1" applyFill="1" applyBorder="1" applyAlignment="1" applyProtection="1">
      <alignment horizontal="center" vertical="center" wrapText="1"/>
    </xf>
    <xf numFmtId="0" fontId="57" fillId="25" borderId="122" xfId="76" applyNumberFormat="1" applyFont="1" applyFill="1" applyBorder="1" applyAlignment="1" applyProtection="1">
      <alignment horizontal="center" vertical="center" wrapText="1" shrinkToFit="1"/>
    </xf>
    <xf numFmtId="0" fontId="98" fillId="34" borderId="123" xfId="0" applyFont="1" applyFill="1" applyBorder="1" applyAlignment="1" applyProtection="1">
      <alignment horizontal="center" vertical="center" wrapText="1"/>
      <protection locked="0"/>
    </xf>
    <xf numFmtId="49" fontId="141" fillId="26" borderId="123" xfId="76" applyNumberFormat="1" applyFont="1" applyFill="1" applyBorder="1" applyAlignment="1" applyProtection="1">
      <alignment horizontal="center" vertical="center" wrapText="1"/>
    </xf>
    <xf numFmtId="49" fontId="183" fillId="26" borderId="123" xfId="76" applyNumberFormat="1" applyFont="1" applyFill="1" applyBorder="1" applyAlignment="1" applyProtection="1">
      <alignment horizontal="center" vertical="center" wrapText="1"/>
    </xf>
    <xf numFmtId="0" fontId="182" fillId="34" borderId="123" xfId="0" applyFont="1" applyFill="1" applyBorder="1" applyAlignment="1" applyProtection="1">
      <alignment horizontal="center" vertical="center" wrapText="1"/>
      <protection locked="0"/>
    </xf>
    <xf numFmtId="0" fontId="57" fillId="25" borderId="101" xfId="0" applyFont="1" applyFill="1" applyBorder="1" applyAlignment="1" applyProtection="1">
      <alignment horizontal="left" vertical="center" wrapText="1"/>
      <protection locked="0"/>
    </xf>
    <xf numFmtId="0" fontId="141" fillId="26" borderId="123" xfId="76" applyFont="1" applyFill="1" applyBorder="1" applyAlignment="1" applyProtection="1">
      <alignment horizontal="center" vertical="center"/>
    </xf>
    <xf numFmtId="0" fontId="141" fillId="26" borderId="123" xfId="76" applyFont="1" applyFill="1" applyBorder="1" applyAlignment="1" applyProtection="1">
      <alignment horizontal="center" vertical="center" wrapText="1"/>
    </xf>
    <xf numFmtId="171" fontId="141" fillId="26" borderId="123" xfId="76" applyNumberFormat="1" applyFont="1" applyFill="1" applyBorder="1" applyAlignment="1" applyProtection="1">
      <alignment horizontal="center" vertical="center"/>
    </xf>
    <xf numFmtId="171" fontId="141" fillId="26" borderId="123" xfId="76" applyNumberFormat="1" applyFont="1" applyFill="1" applyBorder="1" applyAlignment="1" applyProtection="1">
      <alignment horizontal="center" vertical="center" wrapText="1"/>
    </xf>
    <xf numFmtId="0" fontId="144" fillId="25" borderId="0" xfId="76" applyFont="1" applyFill="1" applyAlignment="1" applyProtection="1">
      <alignment vertical="center"/>
    </xf>
    <xf numFmtId="0" fontId="143" fillId="26" borderId="109" xfId="76" applyFont="1" applyFill="1" applyBorder="1" applyAlignment="1" applyProtection="1">
      <alignment horizontal="center" vertical="center" wrapText="1"/>
    </xf>
    <xf numFmtId="0" fontId="148" fillId="0" borderId="123" xfId="76" applyFont="1" applyFill="1" applyBorder="1" applyAlignment="1" applyProtection="1">
      <alignment horizontal="center" vertical="center" wrapText="1"/>
    </xf>
    <xf numFmtId="177" fontId="148" fillId="0" borderId="123" xfId="76" applyNumberFormat="1" applyFont="1" applyFill="1" applyBorder="1" applyAlignment="1" applyProtection="1">
      <alignment horizontal="center" vertical="center" wrapText="1"/>
    </xf>
    <xf numFmtId="0" fontId="61" fillId="0" borderId="10" xfId="76" applyNumberFormat="1" applyFont="1" applyFill="1" applyBorder="1" applyAlignment="1" applyProtection="1">
      <alignment horizontal="center" vertical="center"/>
    </xf>
    <xf numFmtId="0" fontId="133" fillId="0" borderId="13" xfId="76" applyNumberFormat="1" applyFont="1" applyFill="1" applyBorder="1" applyAlignment="1" applyProtection="1">
      <alignment vertical="center"/>
    </xf>
    <xf numFmtId="0" fontId="104" fillId="0" borderId="10" xfId="76" applyNumberFormat="1" applyFont="1" applyFill="1" applyBorder="1" applyAlignment="1" applyProtection="1">
      <alignment horizontal="center" vertical="center"/>
    </xf>
    <xf numFmtId="49" fontId="19" fillId="0" borderId="17" xfId="0" applyNumberFormat="1" applyFont="1" applyFill="1" applyBorder="1" applyAlignment="1">
      <alignment vertical="center"/>
    </xf>
    <xf numFmtId="0" fontId="49" fillId="0" borderId="10" xfId="0" applyNumberFormat="1" applyFont="1" applyFill="1" applyBorder="1" applyAlignment="1">
      <alignment horizontal="center" vertical="center"/>
    </xf>
    <xf numFmtId="49" fontId="49" fillId="0" borderId="109" xfId="0" applyNumberFormat="1" applyFont="1" applyFill="1" applyBorder="1" applyAlignment="1">
      <alignment vertical="center"/>
    </xf>
    <xf numFmtId="49" fontId="49" fillId="0" borderId="122" xfId="0" applyNumberFormat="1" applyFont="1" applyFill="1" applyBorder="1" applyAlignment="1">
      <alignment vertical="center"/>
    </xf>
    <xf numFmtId="49" fontId="49" fillId="0" borderId="110" xfId="0" applyNumberFormat="1" applyFont="1" applyFill="1" applyBorder="1" applyAlignment="1">
      <alignment vertical="center"/>
    </xf>
    <xf numFmtId="49" fontId="49" fillId="0" borderId="123" xfId="0" applyNumberFormat="1" applyFont="1" applyFill="1" applyBorder="1" applyAlignment="1">
      <alignment vertical="center"/>
    </xf>
    <xf numFmtId="49" fontId="27" fillId="0" borderId="108" xfId="0" applyNumberFormat="1" applyFont="1" applyFill="1" applyBorder="1" applyAlignment="1" applyProtection="1">
      <alignment horizontal="center" vertical="center"/>
      <protection hidden="1"/>
    </xf>
    <xf numFmtId="49" fontId="27" fillId="0" borderId="29" xfId="0" applyNumberFormat="1" applyFont="1" applyFill="1" applyBorder="1" applyAlignment="1" applyProtection="1">
      <alignment horizontal="center" vertical="center"/>
      <protection hidden="1"/>
    </xf>
    <xf numFmtId="0" fontId="27" fillId="25" borderId="29" xfId="0" applyNumberFormat="1" applyFont="1" applyFill="1" applyBorder="1" applyAlignment="1" applyProtection="1">
      <alignment horizontal="center" vertical="center"/>
      <protection hidden="1"/>
    </xf>
    <xf numFmtId="0" fontId="8" fillId="0" borderId="31" xfId="0" applyNumberFormat="1" applyFont="1" applyFill="1" applyBorder="1" applyAlignment="1" applyProtection="1">
      <alignment vertical="center"/>
      <protection locked="0"/>
    </xf>
    <xf numFmtId="0" fontId="8" fillId="0" borderId="38" xfId="0" applyNumberFormat="1" applyFont="1" applyFill="1" applyBorder="1" applyAlignment="1" applyProtection="1">
      <alignment vertical="center"/>
      <protection locked="0"/>
    </xf>
    <xf numFmtId="49" fontId="34" fillId="0" borderId="29" xfId="0" applyNumberFormat="1" applyFont="1" applyFill="1" applyBorder="1" applyAlignment="1" applyProtection="1">
      <alignment horizontal="center" vertical="center"/>
      <protection hidden="1"/>
    </xf>
    <xf numFmtId="174" fontId="176" fillId="38" borderId="101" xfId="30" applyNumberFormat="1" applyFont="1" applyFill="1" applyBorder="1" applyAlignment="1" applyProtection="1">
      <alignment horizontal="center" vertical="center"/>
      <protection locked="0"/>
    </xf>
    <xf numFmtId="0" fontId="15" fillId="38" borderId="0" xfId="0" applyFont="1" applyFill="1"/>
    <xf numFmtId="0" fontId="15" fillId="38" borderId="0" xfId="0" applyNumberFormat="1" applyFont="1" applyFill="1"/>
    <xf numFmtId="0" fontId="62" fillId="38" borderId="17" xfId="0" applyFont="1" applyFill="1" applyBorder="1" applyAlignment="1">
      <alignment vertical="center"/>
    </xf>
    <xf numFmtId="0" fontId="62" fillId="38" borderId="17" xfId="0" applyNumberFormat="1" applyFont="1" applyFill="1" applyBorder="1" applyAlignment="1">
      <alignment vertical="center"/>
    </xf>
    <xf numFmtId="0" fontId="57" fillId="39" borderId="34" xfId="0" applyFont="1" applyFill="1" applyBorder="1" applyAlignment="1">
      <alignment horizontal="center" vertical="center"/>
    </xf>
    <xf numFmtId="0" fontId="19" fillId="38" borderId="0" xfId="0" applyFont="1" applyFill="1" applyAlignment="1">
      <alignment horizontal="center" vertical="center"/>
    </xf>
    <xf numFmtId="180" fontId="25" fillId="38" borderId="34" xfId="0" applyNumberFormat="1" applyFont="1" applyFill="1" applyBorder="1" applyAlignment="1">
      <alignment horizontal="center" vertical="center" shrinkToFit="1"/>
    </xf>
    <xf numFmtId="0" fontId="15" fillId="38" borderId="0" xfId="0" applyFont="1" applyFill="1" applyAlignment="1">
      <alignment horizontal="center" vertical="center"/>
    </xf>
    <xf numFmtId="0" fontId="57" fillId="39" borderId="34" xfId="0" applyNumberFormat="1" applyFont="1" applyFill="1" applyBorder="1" applyAlignment="1">
      <alignment horizontal="center" vertical="center"/>
    </xf>
    <xf numFmtId="0" fontId="25" fillId="38" borderId="34" xfId="0" applyNumberFormat="1" applyFont="1" applyFill="1" applyBorder="1" applyAlignment="1">
      <alignment horizontal="center" vertical="center"/>
    </xf>
    <xf numFmtId="0" fontId="25" fillId="38" borderId="15" xfId="0" applyNumberFormat="1" applyFont="1" applyFill="1" applyBorder="1" applyAlignment="1">
      <alignment horizontal="center" vertical="center"/>
    </xf>
    <xf numFmtId="0" fontId="25" fillId="38" borderId="15" xfId="0" applyNumberFormat="1" applyFont="1" applyFill="1" applyBorder="1" applyAlignment="1"/>
    <xf numFmtId="0" fontId="25" fillId="38" borderId="15" xfId="0" applyNumberFormat="1" applyFont="1" applyFill="1" applyBorder="1" applyAlignment="1">
      <alignment horizontal="left" indent="1" shrinkToFit="1"/>
    </xf>
    <xf numFmtId="0" fontId="25" fillId="38" borderId="15" xfId="0" applyFont="1" applyFill="1" applyBorder="1" applyAlignment="1">
      <alignment horizontal="left" indent="1" shrinkToFit="1"/>
    </xf>
    <xf numFmtId="0" fontId="57" fillId="39" borderId="9" xfId="0" applyFont="1" applyFill="1" applyBorder="1" applyAlignment="1">
      <alignment horizontal="center" vertical="center"/>
    </xf>
    <xf numFmtId="0" fontId="57" fillId="39" borderId="13" xfId="0" applyFont="1" applyFill="1" applyBorder="1" applyAlignment="1">
      <alignment horizontal="center" vertical="center"/>
    </xf>
    <xf numFmtId="0" fontId="57" fillId="39" borderId="11" xfId="0" applyFont="1" applyFill="1" applyBorder="1" applyAlignment="1">
      <alignment horizontal="center" vertical="center"/>
    </xf>
    <xf numFmtId="0" fontId="57" fillId="39" borderId="17" xfId="0" applyFont="1" applyFill="1" applyBorder="1" applyAlignment="1">
      <alignment horizontal="center" vertical="center"/>
    </xf>
    <xf numFmtId="0" fontId="57" fillId="39" borderId="11" xfId="0" applyNumberFormat="1" applyFont="1" applyFill="1" applyBorder="1" applyAlignment="1">
      <alignment horizontal="center" vertical="center"/>
    </xf>
    <xf numFmtId="0" fontId="57" fillId="39" borderId="18" xfId="0" applyFont="1" applyFill="1" applyBorder="1" applyAlignment="1">
      <alignment horizontal="center" vertical="center"/>
    </xf>
    <xf numFmtId="0" fontId="25" fillId="38" borderId="27" xfId="0" quotePrefix="1" applyFont="1" applyFill="1" applyBorder="1" applyAlignment="1">
      <alignment horizontal="center" vertical="center"/>
    </xf>
    <xf numFmtId="0" fontId="25" fillId="38" borderId="30" xfId="0" applyFont="1" applyFill="1" applyBorder="1" applyAlignment="1">
      <alignment vertical="center"/>
    </xf>
    <xf numFmtId="4" fontId="17" fillId="38" borderId="30" xfId="0" applyNumberFormat="1" applyFont="1" applyFill="1" applyBorder="1" applyAlignment="1">
      <alignment horizontal="center" vertical="center"/>
    </xf>
    <xf numFmtId="0" fontId="25" fillId="38" borderId="27" xfId="30" applyNumberFormat="1" applyFont="1" applyFill="1" applyBorder="1" applyAlignment="1" applyProtection="1">
      <alignment vertical="center"/>
    </xf>
    <xf numFmtId="171" fontId="17" fillId="38" borderId="28" xfId="0" applyNumberFormat="1" applyFont="1" applyFill="1" applyBorder="1" applyAlignment="1">
      <alignment vertical="center" wrapText="1"/>
    </xf>
    <xf numFmtId="0" fontId="17" fillId="38" borderId="0" xfId="0" applyFont="1" applyFill="1"/>
    <xf numFmtId="0" fontId="25" fillId="38" borderId="30" xfId="0" quotePrefix="1" applyFont="1" applyFill="1" applyBorder="1" applyAlignment="1">
      <alignment vertical="center"/>
    </xf>
    <xf numFmtId="0" fontId="24" fillId="38" borderId="11" xfId="0" applyFont="1" applyFill="1" applyBorder="1" applyAlignment="1">
      <alignment horizontal="left" indent="1"/>
    </xf>
    <xf numFmtId="0" fontId="24" fillId="38" borderId="17" xfId="0" quotePrefix="1" applyFont="1" applyFill="1" applyBorder="1" applyAlignment="1">
      <alignment horizontal="center"/>
    </xf>
    <xf numFmtId="4" fontId="15" fillId="38" borderId="17" xfId="0" applyNumberFormat="1" applyFont="1" applyFill="1" applyBorder="1" applyAlignment="1">
      <alignment horizontal="center" vertical="center"/>
    </xf>
    <xf numFmtId="0" fontId="24" fillId="38" borderId="11" xfId="0" applyNumberFormat="1" applyFont="1" applyFill="1" applyBorder="1" applyAlignment="1">
      <alignment vertical="center"/>
    </xf>
    <xf numFmtId="171" fontId="15" fillId="38" borderId="18" xfId="0" applyNumberFormat="1" applyFont="1" applyFill="1" applyBorder="1" applyAlignment="1">
      <alignment vertical="center" wrapText="1"/>
    </xf>
    <xf numFmtId="0" fontId="24" fillId="38" borderId="17" xfId="0" applyNumberFormat="1" applyFont="1" applyFill="1" applyBorder="1" applyAlignment="1">
      <alignment vertical="center"/>
    </xf>
    <xf numFmtId="0" fontId="25" fillId="38" borderId="0" xfId="0" quotePrefix="1" applyFont="1" applyFill="1" applyBorder="1" applyAlignment="1">
      <alignment horizontal="center"/>
    </xf>
    <xf numFmtId="4" fontId="19" fillId="38" borderId="0" xfId="0" applyNumberFormat="1" applyFont="1" applyFill="1" applyBorder="1" applyAlignment="1">
      <alignment horizontal="center" vertical="center"/>
    </xf>
    <xf numFmtId="0" fontId="25" fillId="38" borderId="0" xfId="0" applyNumberFormat="1" applyFont="1" applyFill="1" applyBorder="1" applyAlignment="1">
      <alignment horizontal="center"/>
    </xf>
    <xf numFmtId="171" fontId="19" fillId="38" borderId="0" xfId="0" applyNumberFormat="1" applyFont="1" applyFill="1" applyBorder="1" applyAlignment="1">
      <alignment horizontal="center" vertical="center"/>
    </xf>
    <xf numFmtId="0" fontId="24" fillId="38" borderId="0" xfId="0" applyFont="1" applyFill="1"/>
    <xf numFmtId="0" fontId="24" fillId="38" borderId="0" xfId="0" applyNumberFormat="1" applyFont="1" applyFill="1"/>
    <xf numFmtId="171" fontId="24" fillId="38" borderId="0" xfId="0" applyNumberFormat="1" applyFont="1" applyFill="1" applyAlignment="1">
      <alignment horizontal="center"/>
    </xf>
    <xf numFmtId="0" fontId="53" fillId="38" borderId="0" xfId="0" applyNumberFormat="1" applyFont="1" applyFill="1" applyBorder="1" applyAlignment="1">
      <alignment horizontal="center"/>
    </xf>
    <xf numFmtId="0" fontId="53" fillId="38" borderId="0" xfId="0" applyFont="1" applyFill="1" applyBorder="1" applyAlignment="1"/>
    <xf numFmtId="0" fontId="54" fillId="38" borderId="0" xfId="0" applyNumberFormat="1" applyFont="1" applyFill="1" applyBorder="1" applyAlignment="1">
      <alignment horizontal="center" vertical="top"/>
    </xf>
    <xf numFmtId="49" fontId="54" fillId="38" borderId="0" xfId="0" applyNumberFormat="1" applyFont="1" applyFill="1" applyBorder="1" applyAlignment="1">
      <alignment horizontal="center" vertical="top"/>
    </xf>
    <xf numFmtId="0" fontId="121" fillId="0" borderId="101" xfId="69" applyFont="1" applyFill="1" applyBorder="1" applyAlignment="1" applyProtection="1">
      <alignment vertical="center"/>
      <protection locked="0"/>
    </xf>
    <xf numFmtId="0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171" fontId="66" fillId="29" borderId="123" xfId="0" applyNumberFormat="1" applyFont="1" applyFill="1" applyBorder="1" applyAlignment="1" applyProtection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184" fillId="34" borderId="101" xfId="0" applyFont="1" applyFill="1" applyBorder="1" applyAlignment="1" applyProtection="1">
      <alignment horizontal="center" vertical="center" wrapText="1"/>
      <protection locked="0"/>
    </xf>
    <xf numFmtId="0" fontId="19" fillId="0" borderId="123" xfId="3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90" fontId="8" fillId="30" borderId="29" xfId="0" applyNumberFormat="1" applyFont="1" applyFill="1" applyBorder="1" applyAlignment="1" applyProtection="1">
      <alignment horizontal="center" vertical="center" shrinkToFit="1"/>
      <protection locked="0"/>
    </xf>
    <xf numFmtId="190" fontId="15" fillId="36" borderId="29" xfId="0" applyNumberFormat="1" applyFont="1" applyFill="1" applyBorder="1" applyAlignment="1" applyProtection="1">
      <alignment horizontal="center" vertical="center" shrinkToFit="1"/>
      <protection locked="0"/>
    </xf>
    <xf numFmtId="190" fontId="8" fillId="36" borderId="29" xfId="0" applyNumberFormat="1" applyFont="1" applyFill="1" applyBorder="1" applyAlignment="1" applyProtection="1">
      <alignment horizontal="center" vertical="center" shrinkToFit="1"/>
      <protection locked="0"/>
    </xf>
    <xf numFmtId="171" fontId="66" fillId="29" borderId="123" xfId="0" applyNumberFormat="1" applyFont="1" applyFill="1" applyBorder="1" applyAlignment="1" applyProtection="1">
      <alignment horizontal="center" vertical="center" wrapText="1"/>
    </xf>
    <xf numFmtId="0" fontId="50" fillId="25" borderId="55" xfId="75" applyFont="1" applyFill="1" applyBorder="1" applyAlignment="1" applyProtection="1">
      <alignment horizontal="center" vertical="center" wrapText="1"/>
    </xf>
    <xf numFmtId="0" fontId="45" fillId="25" borderId="0" xfId="75" applyNumberFormat="1" applyFont="1" applyFill="1" applyBorder="1" applyAlignment="1" applyProtection="1">
      <alignment horizontal="center"/>
    </xf>
    <xf numFmtId="0" fontId="8" fillId="25" borderId="0" xfId="75" applyFont="1" applyFill="1" applyBorder="1" applyAlignment="1" applyProtection="1">
      <alignment horizontal="center"/>
    </xf>
    <xf numFmtId="49" fontId="49" fillId="0" borderId="54" xfId="75" applyNumberFormat="1" applyFont="1" applyFill="1" applyBorder="1" applyAlignment="1" applyProtection="1">
      <alignment horizontal="center"/>
    </xf>
    <xf numFmtId="0" fontId="50" fillId="25" borderId="0" xfId="75" applyFont="1" applyFill="1" applyBorder="1" applyAlignment="1" applyProtection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8" fillId="0" borderId="71" xfId="75" applyNumberFormat="1" applyFont="1" applyFill="1" applyBorder="1" applyAlignment="1" applyProtection="1">
      <alignment horizontal="center" vertical="center" wrapText="1"/>
    </xf>
    <xf numFmtId="177" fontId="103" fillId="0" borderId="71" xfId="74" applyNumberFormat="1" applyFont="1" applyFill="1" applyBorder="1" applyAlignment="1" applyProtection="1">
      <alignment horizontal="center" vertical="center" wrapText="1"/>
    </xf>
    <xf numFmtId="177" fontId="66" fillId="29" borderId="123" xfId="0" applyNumberFormat="1" applyFont="1" applyFill="1" applyBorder="1" applyAlignment="1" applyProtection="1">
      <alignment vertical="center" wrapText="1"/>
    </xf>
    <xf numFmtId="0" fontId="17" fillId="0" borderId="27" xfId="76" applyNumberFormat="1" applyFont="1" applyFill="1" applyBorder="1" applyAlignment="1" applyProtection="1">
      <alignment horizontal="left" vertical="center"/>
    </xf>
    <xf numFmtId="0" fontId="17" fillId="0" borderId="30" xfId="76" applyNumberFormat="1" applyFont="1" applyFill="1" applyBorder="1" applyAlignment="1" applyProtection="1">
      <alignment horizontal="left" vertical="center"/>
    </xf>
    <xf numFmtId="0" fontId="17" fillId="0" borderId="28" xfId="76" applyNumberFormat="1" applyFont="1" applyFill="1" applyBorder="1" applyAlignment="1" applyProtection="1">
      <alignment horizontal="left" vertical="center"/>
    </xf>
    <xf numFmtId="0" fontId="19" fillId="25" borderId="0" xfId="76" applyFont="1" applyFill="1" applyAlignment="1" applyProtection="1">
      <alignment horizontal="center" vertical="center"/>
    </xf>
    <xf numFmtId="15" fontId="57" fillId="25" borderId="101" xfId="0" applyNumberFormat="1" applyFont="1" applyFill="1" applyBorder="1" applyAlignment="1" applyProtection="1">
      <alignment horizontal="center" vertical="center" wrapText="1"/>
      <protection locked="0"/>
    </xf>
    <xf numFmtId="0" fontId="57" fillId="25" borderId="101" xfId="0" applyFont="1" applyFill="1" applyBorder="1" applyAlignment="1" applyProtection="1">
      <alignment horizontal="center" vertical="center" wrapText="1"/>
      <protection locked="0"/>
    </xf>
    <xf numFmtId="171" fontId="19" fillId="25" borderId="101" xfId="51" applyNumberFormat="1" applyFont="1" applyFill="1" applyBorder="1" applyAlignment="1" applyProtection="1">
      <alignment horizontal="left" vertical="center" wrapText="1"/>
      <protection locked="0"/>
    </xf>
    <xf numFmtId="49" fontId="185" fillId="0" borderId="123" xfId="76" applyNumberFormat="1" applyFont="1" applyFill="1" applyBorder="1" applyAlignment="1" applyProtection="1">
      <alignment horizontal="center" vertical="center" wrapText="1"/>
    </xf>
    <xf numFmtId="49" fontId="57" fillId="32" borderId="123" xfId="0" applyNumberFormat="1" applyFont="1" applyFill="1" applyBorder="1" applyAlignment="1" applyProtection="1">
      <alignment horizontal="center" vertical="center" wrapText="1"/>
      <protection locked="0"/>
    </xf>
    <xf numFmtId="0" fontId="19" fillId="25" borderId="0" xfId="76" applyFont="1" applyFill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49" fontId="151" fillId="0" borderId="71" xfId="109" applyNumberFormat="1" applyFont="1" applyBorder="1" applyAlignment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0" fontId="57" fillId="25" borderId="109" xfId="0" quotePrefix="1" applyFont="1" applyFill="1" applyBorder="1" applyAlignment="1" applyProtection="1">
      <alignment horizontal="left" vertical="center"/>
      <protection locked="0"/>
    </xf>
    <xf numFmtId="0" fontId="57" fillId="25" borderId="110" xfId="0" quotePrefix="1" applyFont="1" applyFill="1" applyBorder="1" applyAlignment="1" applyProtection="1">
      <alignment horizontal="left" vertical="center"/>
      <protection locked="0"/>
    </xf>
    <xf numFmtId="0" fontId="19" fillId="25" borderId="109" xfId="0" applyFont="1" applyFill="1" applyBorder="1" applyAlignment="1" applyProtection="1">
      <alignment horizontal="left" vertical="center"/>
      <protection locked="0"/>
    </xf>
    <xf numFmtId="0" fontId="19" fillId="25" borderId="110" xfId="0" applyFont="1" applyFill="1" applyBorder="1" applyAlignment="1" applyProtection="1">
      <alignment horizontal="left" vertical="center"/>
      <protection locked="0"/>
    </xf>
    <xf numFmtId="0" fontId="19" fillId="25" borderId="0" xfId="76" applyFont="1" applyFill="1" applyAlignment="1" applyProtection="1">
      <alignment horizontal="center" vertical="center"/>
    </xf>
    <xf numFmtId="0" fontId="8" fillId="30" borderId="29" xfId="0" quotePrefix="1" applyNumberFormat="1" applyFont="1" applyFill="1" applyBorder="1" applyAlignment="1" applyProtection="1">
      <alignment horizontal="center" vertical="center" shrinkToFit="1"/>
      <protection locked="0"/>
    </xf>
    <xf numFmtId="0" fontId="19" fillId="25" borderId="0" xfId="76" applyFont="1" applyFill="1" applyAlignment="1" applyProtection="1">
      <alignment horizontal="center" vertical="center"/>
    </xf>
    <xf numFmtId="0" fontId="50" fillId="25" borderId="0" xfId="75" applyFont="1" applyFill="1" applyBorder="1" applyAlignment="1" applyProtection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0" fontId="50" fillId="25" borderId="55" xfId="75" applyFont="1" applyFill="1" applyBorder="1" applyAlignment="1" applyProtection="1">
      <alignment horizontal="center" vertical="center" wrapText="1"/>
    </xf>
    <xf numFmtId="0" fontId="50" fillId="25" borderId="0" xfId="75" applyFont="1" applyFill="1" applyBorder="1" applyAlignment="1" applyProtection="1">
      <alignment horizontal="center" vertical="center" wrapText="1"/>
    </xf>
    <xf numFmtId="49" fontId="151" fillId="0" borderId="71" xfId="109" applyNumberFormat="1" applyFont="1" applyBorder="1" applyAlignment="1">
      <alignment horizontal="center" vertical="center" wrapText="1"/>
    </xf>
    <xf numFmtId="0" fontId="19" fillId="25" borderId="0" xfId="76" applyFont="1" applyFill="1" applyAlignment="1" applyProtection="1">
      <alignment horizontal="center" vertical="center"/>
    </xf>
    <xf numFmtId="0" fontId="50" fillId="25" borderId="55" xfId="75" applyFont="1" applyFill="1" applyBorder="1" applyAlignment="1" applyProtection="1">
      <alignment horizontal="center" vertical="center" wrapText="1"/>
    </xf>
    <xf numFmtId="0" fontId="151" fillId="0" borderId="117" xfId="109" applyFont="1" applyFill="1" applyBorder="1" applyAlignment="1" applyProtection="1">
      <alignment horizontal="center" vertical="center" wrapText="1"/>
      <protection locked="0"/>
    </xf>
    <xf numFmtId="0" fontId="8" fillId="0" borderId="27" xfId="0" quotePrefix="1" applyNumberFormat="1" applyFont="1" applyFill="1" applyBorder="1" applyAlignment="1" applyProtection="1">
      <alignment horizontal="right" vertical="center"/>
      <protection locked="0"/>
    </xf>
    <xf numFmtId="49" fontId="27" fillId="0" borderId="28" xfId="0" applyNumberFormat="1" applyFont="1" applyFill="1" applyBorder="1" applyAlignment="1" applyProtection="1">
      <alignment vertical="center"/>
      <protection hidden="1"/>
    </xf>
    <xf numFmtId="2" fontId="8" fillId="0" borderId="27" xfId="0" applyNumberFormat="1" applyFont="1" applyFill="1" applyBorder="1" applyAlignment="1" applyProtection="1">
      <alignment horizontal="right" vertical="center"/>
      <protection locked="0"/>
    </xf>
    <xf numFmtId="0" fontId="181" fillId="0" borderId="27" xfId="0" applyNumberFormat="1" applyFont="1" applyFill="1" applyBorder="1" applyAlignment="1" applyProtection="1">
      <alignment horizontal="right" vertical="center"/>
      <protection locked="0"/>
    </xf>
    <xf numFmtId="49" fontId="186" fillId="0" borderId="28" xfId="0" applyNumberFormat="1" applyFont="1" applyFill="1" applyBorder="1" applyAlignment="1" applyProtection="1">
      <alignment vertical="center" wrapText="1"/>
      <protection hidden="1"/>
    </xf>
    <xf numFmtId="0" fontId="68" fillId="28" borderId="0" xfId="0" applyFont="1" applyFill="1" applyAlignment="1">
      <alignment vertical="center"/>
    </xf>
    <xf numFmtId="0" fontId="68" fillId="28" borderId="0" xfId="0" applyFont="1" applyFill="1" applyAlignment="1">
      <alignment horizontal="left" vertical="center"/>
    </xf>
    <xf numFmtId="0" fontId="68" fillId="28" borderId="0" xfId="0" applyFont="1" applyFill="1" applyBorder="1" applyAlignment="1">
      <alignment horizontal="left" vertical="center"/>
    </xf>
    <xf numFmtId="0" fontId="68" fillId="28" borderId="0" xfId="0" applyFont="1" applyFill="1" applyBorder="1" applyAlignment="1">
      <alignment vertical="center"/>
    </xf>
    <xf numFmtId="0" fontId="70" fillId="37" borderId="116" xfId="0" applyFont="1" applyFill="1" applyBorder="1" applyAlignment="1" applyProtection="1">
      <alignment vertical="center"/>
      <protection locked="0"/>
    </xf>
    <xf numFmtId="3" fontId="70" fillId="37" borderId="116" xfId="0" applyNumberFormat="1" applyFont="1" applyFill="1" applyBorder="1" applyAlignment="1" applyProtection="1">
      <alignment horizontal="left" vertical="center"/>
      <protection locked="0"/>
    </xf>
    <xf numFmtId="49" fontId="70" fillId="37" borderId="116" xfId="0" applyNumberFormat="1" applyFont="1" applyFill="1" applyBorder="1" applyAlignment="1">
      <alignment horizontal="left"/>
    </xf>
    <xf numFmtId="0" fontId="70" fillId="37" borderId="116" xfId="0" applyNumberFormat="1" applyFont="1" applyFill="1" applyBorder="1" applyAlignment="1" applyProtection="1">
      <alignment horizontal="left" vertical="center"/>
      <protection locked="0"/>
    </xf>
    <xf numFmtId="49" fontId="70" fillId="37" borderId="116" xfId="0" applyNumberFormat="1" applyFont="1" applyFill="1" applyBorder="1" applyAlignment="1" applyProtection="1">
      <alignment horizontal="left" vertical="center"/>
      <protection locked="0"/>
    </xf>
    <xf numFmtId="0" fontId="101" fillId="37" borderId="116" xfId="0" applyFont="1" applyFill="1" applyBorder="1" applyAlignment="1" applyProtection="1">
      <alignment vertical="center"/>
      <protection locked="0"/>
    </xf>
    <xf numFmtId="14" fontId="70" fillId="37" borderId="116" xfId="0" applyNumberFormat="1" applyFont="1" applyFill="1" applyBorder="1" applyAlignment="1" applyProtection="1">
      <alignment horizontal="left" vertical="center"/>
      <protection locked="0"/>
    </xf>
    <xf numFmtId="49" fontId="70" fillId="37" borderId="116" xfId="0" applyNumberFormat="1" applyFont="1" applyFill="1" applyBorder="1" applyAlignment="1" applyProtection="1">
      <alignment vertical="center"/>
      <protection locked="0"/>
    </xf>
    <xf numFmtId="49" fontId="70" fillId="37" borderId="116" xfId="0" applyNumberFormat="1" applyFont="1" applyFill="1" applyBorder="1" applyAlignment="1"/>
    <xf numFmtId="0" fontId="179" fillId="37" borderId="116" xfId="0" applyNumberFormat="1" applyFont="1" applyFill="1" applyBorder="1" applyAlignment="1" applyProtection="1">
      <alignment horizontal="left" vertical="center"/>
    </xf>
    <xf numFmtId="0" fontId="179" fillId="37" borderId="116" xfId="0" applyNumberFormat="1" applyFont="1" applyFill="1" applyBorder="1" applyAlignment="1" applyProtection="1">
      <alignment horizontal="left"/>
    </xf>
    <xf numFmtId="49" fontId="88" fillId="37" borderId="116" xfId="0" applyNumberFormat="1" applyFont="1" applyFill="1" applyBorder="1" applyAlignment="1" applyProtection="1">
      <alignment vertical="center"/>
      <protection locked="0"/>
    </xf>
    <xf numFmtId="49" fontId="88" fillId="37" borderId="116" xfId="0" applyNumberFormat="1" applyFont="1" applyFill="1" applyBorder="1" applyAlignment="1"/>
    <xf numFmtId="49" fontId="179" fillId="37" borderId="128" xfId="0" applyNumberFormat="1" applyFont="1" applyFill="1" applyBorder="1" applyAlignment="1" applyProtection="1">
      <alignment horizontal="center" vertical="center"/>
      <protection locked="0"/>
    </xf>
    <xf numFmtId="49" fontId="179" fillId="37" borderId="128" xfId="0" applyNumberFormat="1" applyFont="1" applyFill="1" applyBorder="1" applyAlignment="1" applyProtection="1">
      <alignment horizontal="center" vertical="center" shrinkToFit="1"/>
      <protection locked="0"/>
    </xf>
    <xf numFmtId="0" fontId="135" fillId="37" borderId="116" xfId="0" applyFont="1" applyFill="1" applyBorder="1" applyAlignment="1" applyProtection="1">
      <alignment vertical="center" wrapText="1"/>
    </xf>
    <xf numFmtId="0" fontId="135" fillId="37" borderId="116" xfId="0" applyFont="1" applyFill="1" applyBorder="1" applyAlignment="1" applyProtection="1">
      <alignment vertical="center"/>
    </xf>
    <xf numFmtId="0" fontId="22" fillId="28" borderId="0" xfId="47" quotePrefix="1" applyFont="1" applyFill="1" applyAlignment="1" applyProtection="1">
      <alignment horizontal="left" vertical="center"/>
    </xf>
    <xf numFmtId="0" fontId="22" fillId="28" borderId="0" xfId="47" applyFont="1" applyFill="1" applyAlignment="1" applyProtection="1">
      <alignment horizontal="left" vertical="center"/>
    </xf>
    <xf numFmtId="49" fontId="13" fillId="31" borderId="43" xfId="47" applyNumberFormat="1" applyFill="1" applyBorder="1" applyAlignment="1" applyProtection="1">
      <alignment horizontal="center" wrapText="1" shrinkToFit="1"/>
      <protection locked="0"/>
    </xf>
    <xf numFmtId="49" fontId="99" fillId="31" borderId="44" xfId="0" applyNumberFormat="1" applyFont="1" applyFill="1" applyBorder="1" applyAlignment="1" applyProtection="1">
      <alignment horizontal="center" wrapText="1" shrinkToFit="1"/>
      <protection locked="0"/>
    </xf>
    <xf numFmtId="49" fontId="99" fillId="31" borderId="45" xfId="0" applyNumberFormat="1" applyFont="1" applyFill="1" applyBorder="1" applyAlignment="1" applyProtection="1">
      <alignment horizontal="center" wrapText="1" shrinkToFit="1"/>
      <protection locked="0"/>
    </xf>
    <xf numFmtId="0" fontId="39" fillId="28" borderId="0" xfId="47" applyFont="1" applyFill="1" applyAlignment="1" applyProtection="1">
      <alignment vertical="center"/>
    </xf>
    <xf numFmtId="0" fontId="22" fillId="28" borderId="0" xfId="47" applyFont="1" applyFill="1" applyAlignment="1" applyProtection="1">
      <alignment horizontal="center" vertical="center"/>
    </xf>
    <xf numFmtId="49" fontId="95" fillId="31" borderId="43" xfId="0" applyNumberFormat="1" applyFont="1" applyFill="1" applyBorder="1" applyAlignment="1" applyProtection="1">
      <alignment horizontal="center" wrapText="1" shrinkToFit="1"/>
      <protection locked="0"/>
    </xf>
    <xf numFmtId="49" fontId="95" fillId="31" borderId="44" xfId="0" applyNumberFormat="1" applyFont="1" applyFill="1" applyBorder="1" applyAlignment="1" applyProtection="1">
      <alignment horizontal="center" shrinkToFit="1"/>
      <protection locked="0"/>
    </xf>
    <xf numFmtId="49" fontId="95" fillId="31" borderId="45" xfId="0" applyNumberFormat="1" applyFont="1" applyFill="1" applyBorder="1" applyAlignment="1" applyProtection="1">
      <alignment horizontal="center" shrinkToFit="1"/>
      <protection locked="0"/>
    </xf>
    <xf numFmtId="49" fontId="94" fillId="31" borderId="43" xfId="0" applyNumberFormat="1" applyFont="1" applyFill="1" applyBorder="1" applyAlignment="1" applyProtection="1">
      <alignment horizontal="center" wrapText="1" shrinkToFit="1"/>
      <protection locked="0"/>
    </xf>
    <xf numFmtId="49" fontId="94" fillId="31" borderId="44" xfId="0" applyNumberFormat="1" applyFont="1" applyFill="1" applyBorder="1" applyAlignment="1" applyProtection="1">
      <alignment horizontal="center" shrinkToFit="1"/>
      <protection locked="0"/>
    </xf>
    <xf numFmtId="49" fontId="94" fillId="31" borderId="45" xfId="0" applyNumberFormat="1" applyFont="1" applyFill="1" applyBorder="1" applyAlignment="1" applyProtection="1">
      <alignment horizontal="center" shrinkToFit="1"/>
      <protection locked="0"/>
    </xf>
    <xf numFmtId="0" fontId="38" fillId="28" borderId="0" xfId="47" applyFont="1" applyFill="1" applyAlignment="1" applyProtection="1">
      <alignment horizontal="center" vertical="center"/>
    </xf>
    <xf numFmtId="0" fontId="15" fillId="28" borderId="0" xfId="0" applyFont="1" applyFill="1" applyBorder="1" applyAlignment="1">
      <alignment shrinkToFit="1"/>
    </xf>
    <xf numFmtId="0" fontId="39" fillId="28" borderId="0" xfId="47" applyFont="1" applyFill="1" applyBorder="1" applyAlignment="1" applyProtection="1">
      <alignment horizontal="left" vertical="center"/>
    </xf>
    <xf numFmtId="0" fontId="22" fillId="28" borderId="0" xfId="47" applyFont="1" applyFill="1" applyAlignment="1" applyProtection="1">
      <alignment vertical="center"/>
    </xf>
    <xf numFmtId="0" fontId="16" fillId="28" borderId="0" xfId="47" applyFont="1" applyFill="1" applyBorder="1" applyAlignment="1" applyProtection="1">
      <alignment vertical="center" shrinkToFit="1"/>
    </xf>
    <xf numFmtId="0" fontId="45" fillId="28" borderId="0" xfId="47" applyFont="1" applyFill="1" applyAlignment="1" applyProtection="1">
      <alignment horizontal="center"/>
    </xf>
    <xf numFmtId="0" fontId="15" fillId="28" borderId="0" xfId="47" applyFont="1" applyFill="1" applyBorder="1" applyAlignment="1" applyProtection="1">
      <alignment vertical="center" shrinkToFit="1"/>
    </xf>
    <xf numFmtId="49" fontId="179" fillId="37" borderId="116" xfId="0" applyNumberFormat="1" applyFont="1" applyFill="1" applyBorder="1" applyAlignment="1" applyProtection="1">
      <alignment horizontal="center" vertical="center" shrinkToFit="1"/>
      <protection locked="0"/>
    </xf>
    <xf numFmtId="0" fontId="91" fillId="28" borderId="0" xfId="0" applyFont="1" applyFill="1" applyAlignment="1">
      <alignment horizontal="left"/>
    </xf>
    <xf numFmtId="0" fontId="47" fillId="28" borderId="0" xfId="0" applyFont="1" applyFill="1" applyBorder="1" applyAlignment="1">
      <alignment horizontal="center"/>
    </xf>
    <xf numFmtId="49" fontId="179" fillId="37" borderId="116" xfId="0" quotePrefix="1" applyNumberFormat="1" applyFont="1" applyFill="1" applyBorder="1" applyAlignment="1" applyProtection="1">
      <alignment horizontal="center" vertical="center"/>
      <protection locked="0"/>
    </xf>
    <xf numFmtId="49" fontId="179" fillId="37" borderId="116" xfId="0" applyNumberFormat="1" applyFont="1" applyFill="1" applyBorder="1" applyAlignment="1" applyProtection="1">
      <alignment horizontal="center" vertical="center"/>
      <protection locked="0"/>
    </xf>
    <xf numFmtId="181" fontId="179" fillId="37" borderId="128" xfId="0" applyNumberFormat="1" applyFont="1" applyFill="1" applyBorder="1" applyAlignment="1" applyProtection="1">
      <alignment horizontal="center" vertical="center"/>
      <protection locked="0"/>
    </xf>
    <xf numFmtId="49" fontId="179" fillId="37" borderId="128" xfId="0" applyNumberFormat="1" applyFont="1" applyFill="1" applyBorder="1" applyAlignment="1" applyProtection="1">
      <alignment horizontal="center" shrinkToFit="1"/>
      <protection locked="0"/>
    </xf>
    <xf numFmtId="49" fontId="66" fillId="29" borderId="123" xfId="0" applyNumberFormat="1" applyFont="1" applyFill="1" applyBorder="1" applyAlignment="1" applyProtection="1">
      <alignment horizontal="center" vertical="center" wrapText="1"/>
    </xf>
    <xf numFmtId="171" fontId="66" fillId="29" borderId="123" xfId="0" applyNumberFormat="1" applyFont="1" applyFill="1" applyBorder="1" applyAlignment="1" applyProtection="1">
      <alignment horizontal="center" vertical="center" wrapText="1"/>
    </xf>
    <xf numFmtId="49" fontId="30" fillId="28" borderId="0" xfId="0" applyNumberFormat="1" applyFont="1" applyFill="1" applyBorder="1" applyAlignment="1" applyProtection="1">
      <alignment horizontal="center" vertical="center" shrinkToFit="1"/>
    </xf>
    <xf numFmtId="0" fontId="66" fillId="29" borderId="123" xfId="0" applyNumberFormat="1" applyFont="1" applyFill="1" applyBorder="1" applyAlignment="1" applyProtection="1">
      <alignment horizontal="center" vertical="center" wrapText="1"/>
    </xf>
    <xf numFmtId="49" fontId="66" fillId="29" borderId="124" xfId="0" applyNumberFormat="1" applyFont="1" applyFill="1" applyBorder="1" applyAlignment="1" applyProtection="1">
      <alignment horizontal="center" vertical="center" wrapText="1"/>
    </xf>
    <xf numFmtId="49" fontId="66" fillId="29" borderId="72" xfId="0" applyNumberFormat="1" applyFont="1" applyFill="1" applyBorder="1" applyAlignment="1" applyProtection="1">
      <alignment horizontal="center" vertical="center" wrapText="1"/>
    </xf>
    <xf numFmtId="177" fontId="66" fillId="29" borderId="123" xfId="0" applyNumberFormat="1" applyFont="1" applyFill="1" applyBorder="1" applyAlignment="1" applyProtection="1">
      <alignment horizontal="center" vertical="center" wrapText="1"/>
    </xf>
    <xf numFmtId="171" fontId="66" fillId="29" borderId="109" xfId="0" applyNumberFormat="1" applyFont="1" applyFill="1" applyBorder="1" applyAlignment="1" applyProtection="1">
      <alignment horizontal="center" vertical="center" wrapText="1"/>
    </xf>
    <xf numFmtId="171" fontId="66" fillId="29" borderId="122" xfId="0" applyNumberFormat="1" applyFont="1" applyFill="1" applyBorder="1" applyAlignment="1" applyProtection="1">
      <alignment horizontal="center" vertical="center" wrapText="1"/>
    </xf>
    <xf numFmtId="171" fontId="66" fillId="29" borderId="110" xfId="0" applyNumberFormat="1" applyFont="1" applyFill="1" applyBorder="1" applyAlignment="1" applyProtection="1">
      <alignment horizontal="center" vertical="center" wrapText="1"/>
    </xf>
    <xf numFmtId="177" fontId="66" fillId="29" borderId="109" xfId="0" applyNumberFormat="1" applyFont="1" applyFill="1" applyBorder="1" applyAlignment="1" applyProtection="1">
      <alignment horizontal="center" vertical="center"/>
    </xf>
    <xf numFmtId="177" fontId="66" fillId="29" borderId="122" xfId="0" applyNumberFormat="1" applyFont="1" applyFill="1" applyBorder="1" applyAlignment="1" applyProtection="1">
      <alignment horizontal="center" vertical="center"/>
    </xf>
    <xf numFmtId="177" fontId="66" fillId="29" borderId="110" xfId="0" applyNumberFormat="1" applyFont="1" applyFill="1" applyBorder="1" applyAlignment="1" applyProtection="1">
      <alignment horizontal="center" vertical="center"/>
    </xf>
    <xf numFmtId="49" fontId="60" fillId="0" borderId="125" xfId="75" applyNumberFormat="1" applyFont="1" applyFill="1" applyBorder="1" applyAlignment="1" applyProtection="1">
      <alignment horizontal="center"/>
    </xf>
    <xf numFmtId="49" fontId="60" fillId="0" borderId="126" xfId="75" applyNumberFormat="1" applyFont="1" applyFill="1" applyBorder="1" applyAlignment="1" applyProtection="1">
      <alignment horizontal="center"/>
    </xf>
    <xf numFmtId="49" fontId="60" fillId="0" borderId="127" xfId="75" applyNumberFormat="1" applyFont="1" applyFill="1" applyBorder="1" applyAlignment="1" applyProtection="1">
      <alignment horizontal="center"/>
    </xf>
    <xf numFmtId="49" fontId="104" fillId="0" borderId="55" xfId="75" applyNumberFormat="1" applyFont="1" applyFill="1" applyBorder="1" applyAlignment="1" applyProtection="1">
      <alignment horizontal="center"/>
    </xf>
    <xf numFmtId="49" fontId="104" fillId="0" borderId="0" xfId="75" applyNumberFormat="1" applyFont="1" applyFill="1" applyBorder="1" applyAlignment="1" applyProtection="1">
      <alignment horizontal="center"/>
    </xf>
    <xf numFmtId="49" fontId="104" fillId="0" borderId="56" xfId="75" applyNumberFormat="1" applyFont="1" applyFill="1" applyBorder="1" applyAlignment="1" applyProtection="1">
      <alignment horizontal="center"/>
    </xf>
    <xf numFmtId="0" fontId="50" fillId="25" borderId="55" xfId="75" applyFont="1" applyFill="1" applyBorder="1" applyAlignment="1" applyProtection="1">
      <alignment horizontal="center" vertical="center" wrapText="1"/>
    </xf>
    <xf numFmtId="182" fontId="108" fillId="0" borderId="52" xfId="75" applyNumberFormat="1" applyFont="1" applyFill="1" applyBorder="1" applyAlignment="1" applyProtection="1">
      <alignment horizontal="center" vertical="center"/>
    </xf>
    <xf numFmtId="182" fontId="108" fillId="0" borderId="53" xfId="75" applyNumberFormat="1" applyFont="1" applyFill="1" applyBorder="1" applyAlignment="1" applyProtection="1">
      <alignment horizontal="center" vertical="center"/>
    </xf>
    <xf numFmtId="182" fontId="108" fillId="0" borderId="54" xfId="75" applyNumberFormat="1" applyFont="1" applyFill="1" applyBorder="1" applyAlignment="1" applyProtection="1">
      <alignment horizontal="center" vertical="center"/>
    </xf>
    <xf numFmtId="182" fontId="108" fillId="0" borderId="55" xfId="75" applyNumberFormat="1" applyFont="1" applyFill="1" applyBorder="1" applyAlignment="1" applyProtection="1">
      <alignment horizontal="center" vertical="center"/>
    </xf>
    <xf numFmtId="182" fontId="108" fillId="0" borderId="0" xfId="75" applyNumberFormat="1" applyFont="1" applyFill="1" applyBorder="1" applyAlignment="1" applyProtection="1">
      <alignment horizontal="center" vertical="center"/>
    </xf>
    <xf numFmtId="182" fontId="108" fillId="0" borderId="56" xfId="75" applyNumberFormat="1" applyFont="1" applyFill="1" applyBorder="1" applyAlignment="1" applyProtection="1">
      <alignment horizontal="center" vertical="center"/>
    </xf>
    <xf numFmtId="182" fontId="108" fillId="0" borderId="57" xfId="75" applyNumberFormat="1" applyFont="1" applyFill="1" applyBorder="1" applyAlignment="1" applyProtection="1">
      <alignment horizontal="center" vertical="center"/>
    </xf>
    <xf numFmtId="182" fontId="108" fillId="0" borderId="104" xfId="75" applyNumberFormat="1" applyFont="1" applyFill="1" applyBorder="1" applyAlignment="1" applyProtection="1">
      <alignment horizontal="center" vertical="center"/>
    </xf>
    <xf numFmtId="182" fontId="108" fillId="0" borderId="105" xfId="75" applyNumberFormat="1" applyFont="1" applyFill="1" applyBorder="1" applyAlignment="1" applyProtection="1">
      <alignment horizontal="center" vertical="center"/>
    </xf>
    <xf numFmtId="0" fontId="8" fillId="0" borderId="111" xfId="75" applyNumberFormat="1" applyFont="1" applyFill="1" applyBorder="1" applyAlignment="1" applyProtection="1">
      <alignment shrinkToFit="1"/>
    </xf>
    <xf numFmtId="0" fontId="8" fillId="0" borderId="114" xfId="75" applyNumberFormat="1" applyFont="1" applyFill="1" applyBorder="1" applyAlignment="1" applyProtection="1">
      <alignment shrinkToFit="1"/>
    </xf>
    <xf numFmtId="0" fontId="108" fillId="0" borderId="53" xfId="75" applyNumberFormat="1" applyFont="1" applyFill="1" applyBorder="1" applyAlignment="1" applyProtection="1">
      <alignment horizontal="left" vertical="center" shrinkToFit="1"/>
    </xf>
    <xf numFmtId="0" fontId="116" fillId="0" borderId="55" xfId="75" applyNumberFormat="1" applyFont="1" applyFill="1" applyBorder="1" applyAlignment="1" applyProtection="1">
      <alignment horizontal="center" vertical="center" shrinkToFit="1"/>
    </xf>
    <xf numFmtId="0" fontId="116" fillId="0" borderId="0" xfId="75" applyNumberFormat="1" applyFont="1" applyFill="1" applyBorder="1" applyAlignment="1" applyProtection="1">
      <alignment horizontal="center" vertical="center" shrinkToFit="1"/>
    </xf>
    <xf numFmtId="0" fontId="116" fillId="0" borderId="56" xfId="75" applyNumberFormat="1" applyFont="1" applyFill="1" applyBorder="1" applyAlignment="1" applyProtection="1">
      <alignment horizontal="center" vertical="center" shrinkToFit="1"/>
    </xf>
    <xf numFmtId="0" fontId="28" fillId="0" borderId="55" xfId="75" applyFont="1" applyFill="1" applyBorder="1" applyAlignment="1" applyProtection="1">
      <alignment horizontal="center" vertical="center" textRotation="90"/>
    </xf>
    <xf numFmtId="49" fontId="49" fillId="0" borderId="125" xfId="75" applyNumberFormat="1" applyFont="1" applyFill="1" applyBorder="1" applyAlignment="1" applyProtection="1">
      <alignment horizontal="center"/>
    </xf>
    <xf numFmtId="49" fontId="49" fillId="0" borderId="126" xfId="75" applyNumberFormat="1" applyFont="1" applyFill="1" applyBorder="1" applyAlignment="1" applyProtection="1">
      <alignment horizontal="center"/>
    </xf>
    <xf numFmtId="49" fontId="49" fillId="0" borderId="127" xfId="75" applyNumberFormat="1" applyFont="1" applyFill="1" applyBorder="1" applyAlignment="1" applyProtection="1">
      <alignment horizontal="center"/>
    </xf>
    <xf numFmtId="49" fontId="59" fillId="0" borderId="111" xfId="75" applyNumberFormat="1" applyFont="1" applyFill="1" applyBorder="1" applyAlignment="1" applyProtection="1">
      <alignment horizontal="center"/>
    </xf>
    <xf numFmtId="49" fontId="59" fillId="0" borderId="114" xfId="75" applyNumberFormat="1" applyFont="1" applyFill="1" applyBorder="1" applyAlignment="1" applyProtection="1">
      <alignment horizontal="center"/>
    </xf>
    <xf numFmtId="49" fontId="59" fillId="0" borderId="115" xfId="75" applyNumberFormat="1" applyFont="1" applyFill="1" applyBorder="1" applyAlignment="1" applyProtection="1">
      <alignment horizontal="center"/>
    </xf>
    <xf numFmtId="49" fontId="49" fillId="0" borderId="60" xfId="75" applyNumberFormat="1" applyFont="1" applyFill="1" applyBorder="1" applyAlignment="1" applyProtection="1">
      <alignment horizontal="center" vertical="center"/>
    </xf>
    <xf numFmtId="49" fontId="49" fillId="0" borderId="61" xfId="75" applyNumberFormat="1" applyFont="1" applyFill="1" applyBorder="1" applyAlignment="1" applyProtection="1">
      <alignment horizontal="center" vertical="center"/>
    </xf>
    <xf numFmtId="49" fontId="49" fillId="0" borderId="62" xfId="75" applyNumberFormat="1" applyFont="1" applyFill="1" applyBorder="1" applyAlignment="1" applyProtection="1">
      <alignment horizontal="center" vertical="center"/>
    </xf>
    <xf numFmtId="49" fontId="49" fillId="0" borderId="64" xfId="75" applyNumberFormat="1" applyFont="1" applyFill="1" applyBorder="1" applyAlignment="1" applyProtection="1">
      <alignment horizontal="left" vertical="center" wrapText="1"/>
    </xf>
    <xf numFmtId="49" fontId="49" fillId="0" borderId="80" xfId="75" applyNumberFormat="1" applyFont="1" applyFill="1" applyBorder="1" applyAlignment="1" applyProtection="1">
      <alignment horizontal="left" vertical="center" wrapText="1"/>
    </xf>
    <xf numFmtId="49" fontId="49" fillId="0" borderId="63" xfId="75" applyNumberFormat="1" applyFont="1" applyFill="1" applyBorder="1" applyAlignment="1" applyProtection="1">
      <alignment horizontal="center" vertical="center"/>
    </xf>
    <xf numFmtId="49" fontId="49" fillId="0" borderId="79" xfId="75" applyNumberFormat="1" applyFont="1" applyFill="1" applyBorder="1" applyAlignment="1" applyProtection="1">
      <alignment horizontal="center" vertical="center"/>
    </xf>
    <xf numFmtId="49" fontId="49" fillId="0" borderId="83" xfId="75" applyNumberFormat="1" applyFont="1" applyFill="1" applyBorder="1" applyAlignment="1" applyProtection="1">
      <alignment horizontal="center" vertical="center"/>
    </xf>
    <xf numFmtId="49" fontId="50" fillId="0" borderId="64" xfId="75" applyNumberFormat="1" applyFont="1" applyFill="1" applyBorder="1" applyAlignment="1" applyProtection="1">
      <alignment horizontal="center" vertical="center" wrapText="1"/>
    </xf>
    <xf numFmtId="49" fontId="50" fillId="0" borderId="138" xfId="75" applyNumberFormat="1" applyFont="1" applyFill="1" applyBorder="1" applyAlignment="1" applyProtection="1">
      <alignment horizontal="center" vertical="center" wrapText="1"/>
    </xf>
    <xf numFmtId="49" fontId="50" fillId="0" borderId="80" xfId="75" applyNumberFormat="1" applyFont="1" applyFill="1" applyBorder="1" applyAlignment="1" applyProtection="1">
      <alignment horizontal="center" vertical="center" wrapText="1"/>
    </xf>
    <xf numFmtId="49" fontId="45" fillId="25" borderId="0" xfId="75" applyNumberFormat="1" applyFont="1" applyFill="1" applyBorder="1" applyAlignment="1" applyProtection="1">
      <alignment horizontal="center"/>
    </xf>
    <xf numFmtId="0" fontId="45" fillId="25" borderId="0" xfId="75" applyNumberFormat="1" applyFont="1" applyFill="1" applyBorder="1" applyAlignment="1" applyProtection="1">
      <alignment horizontal="center"/>
    </xf>
    <xf numFmtId="0" fontId="8" fillId="25" borderId="0" xfId="75" applyFont="1" applyFill="1" applyBorder="1" applyAlignment="1" applyProtection="1">
      <alignment horizontal="center"/>
    </xf>
    <xf numFmtId="49" fontId="105" fillId="25" borderId="0" xfId="75" applyNumberFormat="1" applyFont="1" applyFill="1" applyBorder="1" applyAlignment="1" applyProtection="1">
      <alignment horizontal="left" vertical="top"/>
    </xf>
    <xf numFmtId="49" fontId="105" fillId="25" borderId="53" xfId="75" applyNumberFormat="1" applyFont="1" applyFill="1" applyBorder="1" applyAlignment="1" applyProtection="1">
      <alignment horizontal="left" vertical="top"/>
    </xf>
    <xf numFmtId="49" fontId="61" fillId="0" borderId="57" xfId="75" applyNumberFormat="1" applyFont="1" applyFill="1" applyBorder="1" applyAlignment="1" applyProtection="1">
      <alignment horizontal="left" vertical="center" indent="1"/>
    </xf>
    <xf numFmtId="0" fontId="61" fillId="0" borderId="104" xfId="75" applyNumberFormat="1" applyFont="1" applyFill="1" applyBorder="1" applyAlignment="1" applyProtection="1">
      <alignment horizontal="left" vertical="center" indent="1"/>
    </xf>
    <xf numFmtId="0" fontId="116" fillId="0" borderId="57" xfId="75" applyNumberFormat="1" applyFont="1" applyFill="1" applyBorder="1" applyAlignment="1" applyProtection="1">
      <alignment horizontal="center" vertical="center" shrinkToFit="1"/>
    </xf>
    <xf numFmtId="0" fontId="116" fillId="0" borderId="104" xfId="75" applyNumberFormat="1" applyFont="1" applyFill="1" applyBorder="1" applyAlignment="1" applyProtection="1">
      <alignment horizontal="center" vertical="center" shrinkToFit="1"/>
    </xf>
    <xf numFmtId="0" fontId="116" fillId="0" borderId="105" xfId="75" applyNumberFormat="1" applyFont="1" applyFill="1" applyBorder="1" applyAlignment="1" applyProtection="1">
      <alignment horizontal="center" vertical="center" shrinkToFit="1"/>
    </xf>
    <xf numFmtId="49" fontId="106" fillId="0" borderId="64" xfId="75" applyNumberFormat="1" applyFont="1" applyFill="1" applyBorder="1" applyAlignment="1" applyProtection="1">
      <alignment horizontal="center" vertical="center" wrapText="1"/>
    </xf>
    <xf numFmtId="49" fontId="106" fillId="0" borderId="80" xfId="75" applyNumberFormat="1" applyFont="1" applyFill="1" applyBorder="1" applyAlignment="1" applyProtection="1">
      <alignment horizontal="center" vertical="center" wrapText="1"/>
    </xf>
    <xf numFmtId="49" fontId="49" fillId="0" borderId="65" xfId="75" applyNumberFormat="1" applyFont="1" applyFill="1" applyBorder="1" applyAlignment="1" applyProtection="1">
      <alignment horizontal="center" vertical="center"/>
    </xf>
    <xf numFmtId="49" fontId="49" fillId="0" borderId="103" xfId="75" applyNumberFormat="1" applyFont="1" applyFill="1" applyBorder="1" applyAlignment="1" applyProtection="1">
      <alignment horizontal="center" vertical="center"/>
    </xf>
    <xf numFmtId="49" fontId="49" fillId="0" borderId="64" xfId="75" applyNumberFormat="1" applyFont="1" applyFill="1" applyBorder="1" applyAlignment="1" applyProtection="1">
      <alignment horizontal="center" vertical="center" wrapText="1"/>
    </xf>
    <xf numFmtId="49" fontId="49" fillId="0" borderId="80" xfId="75" applyNumberFormat="1" applyFont="1" applyFill="1" applyBorder="1" applyAlignment="1" applyProtection="1">
      <alignment horizontal="center" vertical="center" wrapText="1"/>
    </xf>
    <xf numFmtId="182" fontId="108" fillId="0" borderId="58" xfId="75" applyNumberFormat="1" applyFont="1" applyFill="1" applyBorder="1" applyAlignment="1" applyProtection="1">
      <alignment horizontal="center" vertical="center"/>
    </xf>
    <xf numFmtId="182" fontId="108" fillId="0" borderId="59" xfId="75" applyNumberFormat="1" applyFont="1" applyFill="1" applyBorder="1" applyAlignment="1" applyProtection="1">
      <alignment horizontal="center" vertical="center"/>
    </xf>
    <xf numFmtId="49" fontId="60" fillId="0" borderId="0" xfId="75" applyNumberFormat="1" applyFont="1" applyFill="1" applyAlignment="1" applyProtection="1">
      <alignment horizontal="center"/>
    </xf>
    <xf numFmtId="49" fontId="104" fillId="0" borderId="0" xfId="75" applyNumberFormat="1" applyFont="1" applyFill="1" applyAlignment="1" applyProtection="1">
      <alignment horizontal="center"/>
    </xf>
    <xf numFmtId="49" fontId="49" fillId="0" borderId="52" xfId="75" applyNumberFormat="1" applyFont="1" applyFill="1" applyBorder="1" applyAlignment="1" applyProtection="1">
      <alignment horizontal="center"/>
    </xf>
    <xf numFmtId="49" fontId="49" fillId="0" borderId="53" xfId="75" applyNumberFormat="1" applyFont="1" applyFill="1" applyBorder="1" applyAlignment="1" applyProtection="1">
      <alignment horizontal="center"/>
    </xf>
    <xf numFmtId="49" fontId="49" fillId="0" borderId="54" xfId="75" applyNumberFormat="1" applyFont="1" applyFill="1" applyBorder="1" applyAlignment="1" applyProtection="1">
      <alignment horizontal="center"/>
    </xf>
    <xf numFmtId="0" fontId="8" fillId="0" borderId="0" xfId="75" applyNumberFormat="1" applyFont="1" applyFill="1" applyBorder="1" applyAlignment="1" applyProtection="1">
      <alignment shrinkToFit="1"/>
    </xf>
    <xf numFmtId="49" fontId="59" fillId="0" borderId="57" xfId="75" applyNumberFormat="1" applyFont="1" applyFill="1" applyBorder="1" applyAlignment="1" applyProtection="1">
      <alignment horizontal="center"/>
    </xf>
    <xf numFmtId="49" fontId="59" fillId="0" borderId="58" xfId="75" applyNumberFormat="1" applyFont="1" applyFill="1" applyBorder="1" applyAlignment="1" applyProtection="1">
      <alignment horizontal="center"/>
    </xf>
    <xf numFmtId="49" fontId="59" fillId="0" borderId="59" xfId="75" applyNumberFormat="1" applyFont="1" applyFill="1" applyBorder="1" applyAlignment="1" applyProtection="1">
      <alignment horizontal="center"/>
    </xf>
    <xf numFmtId="0" fontId="50" fillId="25" borderId="0" xfId="75" applyFont="1" applyFill="1" applyBorder="1" applyAlignment="1" applyProtection="1">
      <alignment horizontal="center" vertical="center" wrapText="1"/>
    </xf>
    <xf numFmtId="0" fontId="61" fillId="0" borderId="58" xfId="75" applyNumberFormat="1" applyFont="1" applyFill="1" applyBorder="1" applyAlignment="1" applyProtection="1">
      <alignment horizontal="left" vertical="center" indent="1"/>
    </xf>
    <xf numFmtId="49" fontId="49" fillId="0" borderId="67" xfId="75" applyNumberFormat="1" applyFont="1" applyFill="1" applyBorder="1" applyAlignment="1" applyProtection="1">
      <alignment horizontal="center" vertical="center"/>
    </xf>
    <xf numFmtId="0" fontId="28" fillId="0" borderId="0" xfId="75" applyFont="1" applyFill="1" applyBorder="1" applyAlignment="1" applyProtection="1">
      <alignment horizontal="center" vertical="center" textRotation="90"/>
    </xf>
    <xf numFmtId="49" fontId="49" fillId="0" borderId="71" xfId="75" applyNumberFormat="1" applyFont="1" applyFill="1" applyBorder="1" applyAlignment="1" applyProtection="1">
      <alignment horizontal="center" vertical="center" wrapText="1"/>
    </xf>
    <xf numFmtId="49" fontId="50" fillId="0" borderId="71" xfId="75" applyNumberFormat="1" applyFont="1" applyFill="1" applyBorder="1" applyAlignment="1" applyProtection="1">
      <alignment horizontal="center" vertical="center" wrapText="1"/>
    </xf>
    <xf numFmtId="0" fontId="50" fillId="25" borderId="56" xfId="75" applyFont="1" applyFill="1" applyBorder="1" applyAlignment="1" applyProtection="1">
      <alignment horizontal="center" vertical="center" wrapText="1"/>
    </xf>
    <xf numFmtId="0" fontId="116" fillId="0" borderId="58" xfId="75" applyNumberFormat="1" applyFont="1" applyFill="1" applyBorder="1" applyAlignment="1" applyProtection="1">
      <alignment horizontal="center" vertical="center" shrinkToFit="1"/>
    </xf>
    <xf numFmtId="0" fontId="116" fillId="0" borderId="59" xfId="75" applyNumberFormat="1" applyFont="1" applyFill="1" applyBorder="1" applyAlignment="1" applyProtection="1">
      <alignment horizontal="center" vertical="center" shrinkToFit="1"/>
    </xf>
    <xf numFmtId="49" fontId="49" fillId="0" borderId="71" xfId="75" applyNumberFormat="1" applyFont="1" applyFill="1" applyBorder="1" applyAlignment="1" applyProtection="1">
      <alignment horizontal="center" vertical="center"/>
    </xf>
    <xf numFmtId="49" fontId="49" fillId="0" borderId="71" xfId="75" applyNumberFormat="1" applyFont="1" applyFill="1" applyBorder="1" applyAlignment="1" applyProtection="1">
      <alignment horizontal="left" vertical="center" wrapText="1"/>
    </xf>
    <xf numFmtId="0" fontId="116" fillId="0" borderId="0" xfId="75" applyNumberFormat="1" applyFont="1" applyFill="1" applyBorder="1" applyAlignment="1" applyProtection="1">
      <alignment horizontal="left" vertical="center" indent="1" shrinkToFit="1"/>
    </xf>
    <xf numFmtId="0" fontId="28" fillId="0" borderId="56" xfId="75" applyFont="1" applyFill="1" applyBorder="1" applyAlignment="1" applyProtection="1">
      <alignment horizontal="center" vertical="center" textRotation="90"/>
    </xf>
    <xf numFmtId="0" fontId="108" fillId="0" borderId="54" xfId="75" applyNumberFormat="1" applyFont="1" applyFill="1" applyBorder="1" applyAlignment="1" applyProtection="1">
      <alignment horizontal="left" vertical="center" shrinkToFit="1"/>
    </xf>
    <xf numFmtId="0" fontId="61" fillId="0" borderId="59" xfId="75" applyNumberFormat="1" applyFont="1" applyFill="1" applyBorder="1" applyAlignment="1" applyProtection="1">
      <alignment horizontal="left" vertical="center" indent="1"/>
    </xf>
    <xf numFmtId="0" fontId="123" fillId="0" borderId="103" xfId="0" applyFont="1" applyBorder="1"/>
    <xf numFmtId="0" fontId="21" fillId="0" borderId="17" xfId="0" applyFont="1" applyBorder="1" applyAlignment="1">
      <alignment horizontal="left" shrinkToFit="1"/>
    </xf>
    <xf numFmtId="0" fontId="123" fillId="0" borderId="0" xfId="0" applyFont="1" applyAlignment="1">
      <alignment horizontal="center"/>
    </xf>
    <xf numFmtId="0" fontId="21" fillId="0" borderId="17" xfId="0" applyFont="1" applyFill="1" applyBorder="1" applyAlignment="1">
      <alignment horizontal="center"/>
    </xf>
    <xf numFmtId="0" fontId="123" fillId="0" borderId="17" xfId="0" applyFont="1" applyFill="1" applyBorder="1" applyAlignment="1">
      <alignment horizontal="center"/>
    </xf>
    <xf numFmtId="0" fontId="123" fillId="32" borderId="122" xfId="0" applyFont="1" applyFill="1" applyBorder="1" applyAlignment="1" applyProtection="1">
      <alignment horizontal="center" shrinkToFit="1"/>
      <protection locked="0"/>
    </xf>
    <xf numFmtId="0" fontId="123" fillId="32" borderId="0" xfId="0" applyFont="1" applyFill="1" applyAlignment="1">
      <alignment horizontal="center"/>
    </xf>
    <xf numFmtId="0" fontId="123" fillId="32" borderId="122" xfId="0" applyFont="1" applyFill="1" applyBorder="1" applyAlignment="1">
      <alignment horizontal="center"/>
    </xf>
    <xf numFmtId="0" fontId="123" fillId="0" borderId="77" xfId="0" applyFont="1" applyBorder="1" applyAlignment="1">
      <alignment horizontal="center" shrinkToFit="1"/>
    </xf>
    <xf numFmtId="0" fontId="123" fillId="0" borderId="77" xfId="0" applyFont="1" applyBorder="1" applyAlignment="1">
      <alignment horizontal="center"/>
    </xf>
    <xf numFmtId="182" fontId="123" fillId="0" borderId="122" xfId="0" applyNumberFormat="1" applyFont="1" applyBorder="1" applyAlignment="1">
      <alignment horizontal="left" shrinkToFit="1"/>
    </xf>
    <xf numFmtId="15" fontId="21" fillId="38" borderId="17" xfId="0" applyNumberFormat="1" applyFont="1" applyFill="1" applyBorder="1" applyAlignment="1">
      <alignment horizontal="center"/>
    </xf>
    <xf numFmtId="49" fontId="21" fillId="38" borderId="17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17" xfId="0" applyNumberFormat="1" applyFont="1" applyBorder="1" applyAlignment="1">
      <alignment horizontal="left" shrinkToFit="1"/>
    </xf>
    <xf numFmtId="0" fontId="123" fillId="0" borderId="0" xfId="0" applyFont="1" applyAlignment="1">
      <alignment horizontal="left"/>
    </xf>
    <xf numFmtId="182" fontId="124" fillId="0" borderId="17" xfId="0" applyNumberFormat="1" applyFont="1" applyBorder="1" applyAlignment="1">
      <alignment horizontal="left" shrinkToFit="1"/>
    </xf>
    <xf numFmtId="49" fontId="21" fillId="0" borderId="17" xfId="0" applyNumberFormat="1" applyFont="1" applyBorder="1" applyAlignment="1">
      <alignment horizontal="left" shrinkToFit="1"/>
    </xf>
    <xf numFmtId="0" fontId="21" fillId="32" borderId="17" xfId="0" applyFont="1" applyFill="1" applyBorder="1" applyAlignment="1">
      <alignment horizontal="left" shrinkToFit="1"/>
    </xf>
    <xf numFmtId="49" fontId="21" fillId="0" borderId="13" xfId="0" applyNumberFormat="1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123" fillId="32" borderId="17" xfId="0" applyFont="1" applyFill="1" applyBorder="1" applyAlignment="1">
      <alignment horizontal="center"/>
    </xf>
    <xf numFmtId="0" fontId="123" fillId="0" borderId="17" xfId="0" applyFont="1" applyBorder="1" applyAlignment="1">
      <alignment horizontal="center"/>
    </xf>
    <xf numFmtId="182" fontId="124" fillId="0" borderId="17" xfId="0" applyNumberFormat="1" applyFont="1" applyBorder="1" applyAlignment="1">
      <alignment horizontal="center" shrinkToFit="1"/>
    </xf>
    <xf numFmtId="0" fontId="123" fillId="0" borderId="0" xfId="0" applyFont="1" applyBorder="1" applyAlignment="1">
      <alignment horizontal="center"/>
    </xf>
    <xf numFmtId="49" fontId="21" fillId="0" borderId="17" xfId="0" applyNumberFormat="1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23" fillId="0" borderId="13" xfId="0" applyFont="1" applyBorder="1" applyAlignment="1">
      <alignment horizontal="center"/>
    </xf>
    <xf numFmtId="0" fontId="28" fillId="0" borderId="0" xfId="76" applyFont="1" applyAlignment="1">
      <alignment horizontal="center" vertical="center"/>
    </xf>
    <xf numFmtId="0" fontId="28" fillId="0" borderId="17" xfId="76" applyFont="1" applyBorder="1" applyAlignment="1">
      <alignment horizontal="center" vertical="center"/>
    </xf>
    <xf numFmtId="49" fontId="26" fillId="25" borderId="0" xfId="69" applyNumberFormat="1" applyFont="1" applyFill="1" applyBorder="1" applyAlignment="1" applyProtection="1">
      <alignment horizontal="center" shrinkToFit="1"/>
    </xf>
    <xf numFmtId="0" fontId="54" fillId="25" borderId="0" xfId="69" applyNumberFormat="1" applyFont="1" applyFill="1" applyBorder="1" applyAlignment="1" applyProtection="1">
      <alignment horizontal="center" vertical="top"/>
    </xf>
    <xf numFmtId="0" fontId="139" fillId="27" borderId="34" xfId="69" applyFont="1" applyFill="1" applyBorder="1" applyAlignment="1" applyProtection="1">
      <alignment horizontal="center" vertical="center"/>
    </xf>
    <xf numFmtId="0" fontId="139" fillId="27" borderId="33" xfId="69" applyFont="1" applyFill="1" applyBorder="1" applyAlignment="1" applyProtection="1">
      <alignment horizontal="center" vertical="center"/>
    </xf>
    <xf numFmtId="49" fontId="139" fillId="25" borderId="34" xfId="69" applyNumberFormat="1" applyFont="1" applyFill="1" applyBorder="1" applyAlignment="1" applyProtection="1">
      <alignment horizontal="center" vertical="center"/>
    </xf>
    <xf numFmtId="0" fontId="139" fillId="25" borderId="33" xfId="69" applyNumberFormat="1" applyFont="1" applyFill="1" applyBorder="1" applyAlignment="1" applyProtection="1">
      <alignment horizontal="center" vertical="center"/>
    </xf>
    <xf numFmtId="49" fontId="141" fillId="26" borderId="67" xfId="69" applyNumberFormat="1" applyFont="1" applyFill="1" applyBorder="1" applyAlignment="1" applyProtection="1">
      <alignment horizontal="center" vertical="center"/>
    </xf>
    <xf numFmtId="49" fontId="141" fillId="26" borderId="14" xfId="69" applyNumberFormat="1" applyFont="1" applyFill="1" applyBorder="1" applyAlignment="1" applyProtection="1">
      <alignment horizontal="center" vertical="center"/>
    </xf>
    <xf numFmtId="0" fontId="114" fillId="32" borderId="92" xfId="0" applyFont="1" applyFill="1" applyBorder="1" applyAlignment="1" applyProtection="1">
      <alignment horizontal="center" vertical="center" wrapText="1"/>
      <protection locked="0"/>
    </xf>
    <xf numFmtId="0" fontId="114" fillId="32" borderId="91" xfId="0" applyFont="1" applyFill="1" applyBorder="1" applyAlignment="1" applyProtection="1">
      <alignment horizontal="center" vertical="center" wrapText="1"/>
      <protection locked="0"/>
    </xf>
    <xf numFmtId="0" fontId="114" fillId="0" borderId="92" xfId="0" applyFont="1" applyFill="1" applyBorder="1" applyAlignment="1" applyProtection="1">
      <alignment horizontal="center" vertical="center" wrapText="1"/>
      <protection locked="0"/>
    </xf>
    <xf numFmtId="0" fontId="114" fillId="0" borderId="91" xfId="0" applyFont="1" applyFill="1" applyBorder="1" applyAlignment="1" applyProtection="1">
      <alignment horizontal="center" vertical="center" wrapText="1"/>
      <protection locked="0"/>
    </xf>
    <xf numFmtId="0" fontId="120" fillId="25" borderId="34" xfId="69" applyFont="1" applyFill="1" applyBorder="1" applyAlignment="1" applyProtection="1">
      <alignment horizontal="center" vertical="center"/>
      <protection locked="0"/>
    </xf>
    <xf numFmtId="0" fontId="120" fillId="25" borderId="15" xfId="69" applyFont="1" applyFill="1" applyBorder="1" applyAlignment="1" applyProtection="1">
      <alignment horizontal="center" vertical="center"/>
      <protection locked="0"/>
    </xf>
    <xf numFmtId="0" fontId="120" fillId="25" borderId="33" xfId="69" applyFont="1" applyFill="1" applyBorder="1" applyAlignment="1" applyProtection="1">
      <alignment horizontal="center" vertical="center"/>
      <protection locked="0"/>
    </xf>
    <xf numFmtId="0" fontId="62" fillId="25" borderId="0" xfId="69" applyFont="1" applyFill="1" applyBorder="1" applyAlignment="1" applyProtection="1">
      <alignment horizontal="center" vertical="center" wrapText="1"/>
    </xf>
    <xf numFmtId="0" fontId="62" fillId="25" borderId="0" xfId="69" applyFont="1" applyFill="1" applyBorder="1" applyAlignment="1" applyProtection="1">
      <alignment horizontal="center" vertical="center"/>
    </xf>
    <xf numFmtId="0" fontId="25" fillId="25" borderId="0" xfId="69" applyFont="1" applyFill="1" applyBorder="1" applyAlignment="1" applyProtection="1">
      <alignment horizontal="center" vertical="center"/>
    </xf>
    <xf numFmtId="0" fontId="139" fillId="25" borderId="34" xfId="69" applyFont="1" applyFill="1" applyBorder="1" applyAlignment="1" applyProtection="1">
      <alignment horizontal="center" vertical="center"/>
    </xf>
    <xf numFmtId="0" fontId="139" fillId="25" borderId="33" xfId="69" applyFont="1" applyFill="1" applyBorder="1" applyAlignment="1" applyProtection="1">
      <alignment horizontal="center" vertical="center"/>
    </xf>
    <xf numFmtId="0" fontId="141" fillId="26" borderId="103" xfId="69" applyFont="1" applyFill="1" applyBorder="1" applyAlignment="1" applyProtection="1">
      <alignment horizontal="center" vertical="center"/>
    </xf>
    <xf numFmtId="0" fontId="141" fillId="26" borderId="67" xfId="69" applyFont="1" applyFill="1" applyBorder="1" applyAlignment="1" applyProtection="1">
      <alignment horizontal="center" vertical="center"/>
    </xf>
    <xf numFmtId="0" fontId="139" fillId="27" borderId="109" xfId="69" applyFont="1" applyFill="1" applyBorder="1" applyAlignment="1" applyProtection="1">
      <alignment horizontal="center" vertical="center"/>
    </xf>
    <xf numFmtId="0" fontId="139" fillId="27" borderId="77" xfId="69" applyFont="1" applyFill="1" applyBorder="1" applyAlignment="1" applyProtection="1">
      <alignment horizontal="center" vertical="center"/>
    </xf>
    <xf numFmtId="0" fontId="139" fillId="27" borderId="110" xfId="69" applyFont="1" applyFill="1" applyBorder="1" applyAlignment="1" applyProtection="1">
      <alignment horizontal="center" vertical="center"/>
    </xf>
    <xf numFmtId="0" fontId="189" fillId="25" borderId="109" xfId="69" applyNumberFormat="1" applyFont="1" applyFill="1" applyBorder="1" applyAlignment="1" applyProtection="1">
      <alignment horizontal="center" vertical="center"/>
    </xf>
    <xf numFmtId="0" fontId="189" fillId="25" borderId="77" xfId="69" applyNumberFormat="1" applyFont="1" applyFill="1" applyBorder="1" applyAlignment="1" applyProtection="1">
      <alignment horizontal="center" vertical="center"/>
    </xf>
    <xf numFmtId="0" fontId="189" fillId="25" borderId="110" xfId="69" applyNumberFormat="1" applyFont="1" applyFill="1" applyBorder="1" applyAlignment="1" applyProtection="1">
      <alignment horizontal="center" vertical="center"/>
    </xf>
    <xf numFmtId="182" fontId="142" fillId="25" borderId="109" xfId="69" applyNumberFormat="1" applyFont="1" applyFill="1" applyBorder="1" applyAlignment="1" applyProtection="1">
      <alignment horizontal="center" vertical="center"/>
    </xf>
    <xf numFmtId="182" fontId="142" fillId="25" borderId="77" xfId="69" applyNumberFormat="1" applyFont="1" applyFill="1" applyBorder="1" applyAlignment="1" applyProtection="1">
      <alignment horizontal="center" vertical="center"/>
    </xf>
    <xf numFmtId="182" fontId="142" fillId="25" borderId="110" xfId="69" applyNumberFormat="1" applyFont="1" applyFill="1" applyBorder="1" applyAlignment="1" applyProtection="1">
      <alignment horizontal="center" vertical="center"/>
    </xf>
    <xf numFmtId="0" fontId="160" fillId="0" borderId="0" xfId="109" applyFont="1" applyAlignment="1" applyProtection="1">
      <alignment horizontal="center" vertical="center"/>
    </xf>
    <xf numFmtId="0" fontId="161" fillId="0" borderId="0" xfId="109" applyFont="1" applyAlignment="1" applyProtection="1">
      <alignment horizontal="center" vertical="center"/>
    </xf>
    <xf numFmtId="0" fontId="162" fillId="0" borderId="0" xfId="109" applyFont="1" applyBorder="1" applyAlignment="1" applyProtection="1">
      <alignment horizontal="justify" vertical="center" wrapText="1"/>
    </xf>
    <xf numFmtId="0" fontId="162" fillId="0" borderId="0" xfId="109" applyFont="1" applyBorder="1" applyAlignment="1" applyProtection="1">
      <alignment horizontal="left" vertical="center" wrapText="1"/>
    </xf>
    <xf numFmtId="0" fontId="162" fillId="0" borderId="106" xfId="109" applyFont="1" applyBorder="1" applyAlignment="1" applyProtection="1">
      <alignment horizontal="center" vertical="center" wrapText="1"/>
    </xf>
    <xf numFmtId="0" fontId="162" fillId="0" borderId="67" xfId="109" applyFont="1" applyBorder="1" applyAlignment="1" applyProtection="1">
      <alignment horizontal="center" vertical="center" wrapText="1"/>
    </xf>
    <xf numFmtId="0" fontId="162" fillId="0" borderId="107" xfId="109" applyFont="1" applyBorder="1" applyAlignment="1" applyProtection="1">
      <alignment horizontal="center" vertical="center" wrapText="1"/>
    </xf>
    <xf numFmtId="0" fontId="162" fillId="0" borderId="0" xfId="109" applyFont="1" applyBorder="1" applyAlignment="1" applyProtection="1">
      <alignment horizontal="center" vertical="center" wrapText="1"/>
    </xf>
    <xf numFmtId="49" fontId="163" fillId="0" borderId="67" xfId="109" applyNumberFormat="1" applyFont="1" applyBorder="1" applyAlignment="1" applyProtection="1">
      <alignment horizontal="center" vertical="center" wrapText="1"/>
    </xf>
    <xf numFmtId="0" fontId="163" fillId="0" borderId="68" xfId="109" applyNumberFormat="1" applyFont="1" applyBorder="1" applyAlignment="1" applyProtection="1">
      <alignment horizontal="center" vertical="center" wrapText="1"/>
    </xf>
    <xf numFmtId="0" fontId="163" fillId="0" borderId="0" xfId="109" applyNumberFormat="1" applyFont="1" applyBorder="1" applyAlignment="1" applyProtection="1">
      <alignment horizontal="center" vertical="center" wrapText="1"/>
    </xf>
    <xf numFmtId="0" fontId="163" fillId="0" borderId="12" xfId="109" applyNumberFormat="1" applyFont="1" applyBorder="1" applyAlignment="1" applyProtection="1">
      <alignment horizontal="center" vertical="center" wrapText="1"/>
    </xf>
    <xf numFmtId="0" fontId="162" fillId="0" borderId="106" xfId="109" applyFont="1" applyBorder="1" applyAlignment="1" applyProtection="1">
      <alignment horizontal="left" vertical="center" wrapText="1"/>
    </xf>
    <xf numFmtId="0" fontId="162" fillId="0" borderId="67" xfId="109" applyFont="1" applyBorder="1" applyAlignment="1" applyProtection="1">
      <alignment horizontal="left" vertical="center" wrapText="1"/>
    </xf>
    <xf numFmtId="0" fontId="162" fillId="0" borderId="107" xfId="109" applyFont="1" applyBorder="1" applyAlignment="1" applyProtection="1">
      <alignment horizontal="left" vertical="center" wrapText="1"/>
    </xf>
    <xf numFmtId="0" fontId="190" fillId="0" borderId="67" xfId="109" applyFont="1" applyBorder="1" applyAlignment="1" applyProtection="1">
      <alignment horizontal="center" vertical="center" wrapText="1"/>
    </xf>
    <xf numFmtId="0" fontId="190" fillId="0" borderId="68" xfId="109" applyFont="1" applyBorder="1" applyAlignment="1" applyProtection="1">
      <alignment horizontal="center" vertical="center" wrapText="1"/>
    </xf>
    <xf numFmtId="0" fontId="190" fillId="0" borderId="0" xfId="109" applyFont="1" applyBorder="1" applyAlignment="1" applyProtection="1">
      <alignment horizontal="center" vertical="center" wrapText="1"/>
    </xf>
    <xf numFmtId="0" fontId="190" fillId="0" borderId="12" xfId="109" applyFont="1" applyBorder="1" applyAlignment="1" applyProtection="1">
      <alignment horizontal="center" vertical="center" wrapText="1"/>
    </xf>
    <xf numFmtId="0" fontId="162" fillId="0" borderId="118" xfId="109" applyFont="1" applyBorder="1" applyAlignment="1" applyProtection="1">
      <alignment horizontal="left" vertical="center" wrapText="1"/>
    </xf>
    <xf numFmtId="0" fontId="162" fillId="0" borderId="56" xfId="109" applyFont="1" applyBorder="1" applyAlignment="1" applyProtection="1">
      <alignment horizontal="left" vertical="center" wrapText="1"/>
    </xf>
    <xf numFmtId="186" fontId="167" fillId="0" borderId="68" xfId="109" applyNumberFormat="1" applyFont="1" applyBorder="1" applyAlignment="1" applyProtection="1">
      <alignment horizontal="center" vertical="center" wrapText="1"/>
    </xf>
    <xf numFmtId="186" fontId="167" fillId="0" borderId="12" xfId="109" applyNumberFormat="1" applyFont="1" applyBorder="1" applyAlignment="1" applyProtection="1">
      <alignment horizontal="center" vertical="center" wrapText="1"/>
    </xf>
    <xf numFmtId="0" fontId="162" fillId="0" borderId="75" xfId="109" applyFont="1" applyBorder="1" applyAlignment="1" applyProtection="1">
      <alignment horizontal="center" vertical="center" wrapText="1"/>
    </xf>
    <xf numFmtId="0" fontId="162" fillId="0" borderId="17" xfId="109" applyFont="1" applyBorder="1" applyAlignment="1" applyProtection="1">
      <alignment horizontal="center" vertical="center" wrapText="1"/>
    </xf>
    <xf numFmtId="0" fontId="163" fillId="0" borderId="67" xfId="109" applyFont="1" applyBorder="1" applyAlignment="1" applyProtection="1">
      <alignment horizontal="center" vertical="center" wrapText="1"/>
    </xf>
    <xf numFmtId="0" fontId="163" fillId="0" borderId="68" xfId="109" applyFont="1" applyBorder="1" applyAlignment="1" applyProtection="1">
      <alignment horizontal="center" vertical="center" wrapText="1"/>
    </xf>
    <xf numFmtId="0" fontId="163" fillId="0" borderId="17" xfId="109" applyFont="1" applyBorder="1" applyAlignment="1" applyProtection="1">
      <alignment horizontal="center" vertical="center" wrapText="1"/>
    </xf>
    <xf numFmtId="0" fontId="163" fillId="0" borderId="18" xfId="109" applyFont="1" applyBorder="1" applyAlignment="1" applyProtection="1">
      <alignment horizontal="center" vertical="center" wrapText="1"/>
    </xf>
    <xf numFmtId="49" fontId="164" fillId="0" borderId="67" xfId="109" applyNumberFormat="1" applyFont="1" applyBorder="1" applyAlignment="1" applyProtection="1">
      <alignment horizontal="center" vertical="center" wrapText="1"/>
    </xf>
    <xf numFmtId="0" fontId="164" fillId="0" borderId="67" xfId="109" applyNumberFormat="1" applyFont="1" applyBorder="1" applyAlignment="1" applyProtection="1">
      <alignment horizontal="center" vertical="center" wrapText="1"/>
    </xf>
    <xf numFmtId="0" fontId="164" fillId="0" borderId="68" xfId="109" applyNumberFormat="1" applyFont="1" applyBorder="1" applyAlignment="1" applyProtection="1">
      <alignment horizontal="center" vertical="center" wrapText="1"/>
    </xf>
    <xf numFmtId="0" fontId="164" fillId="0" borderId="17" xfId="109" applyNumberFormat="1" applyFont="1" applyBorder="1" applyAlignment="1" applyProtection="1">
      <alignment horizontal="center" vertical="center" wrapText="1"/>
    </xf>
    <xf numFmtId="0" fontId="164" fillId="0" borderId="18" xfId="109" applyNumberFormat="1" applyFont="1" applyBorder="1" applyAlignment="1" applyProtection="1">
      <alignment horizontal="center" vertical="center" wrapText="1"/>
    </xf>
    <xf numFmtId="0" fontId="163" fillId="0" borderId="67" xfId="109" applyFont="1" applyBorder="1" applyAlignment="1" applyProtection="1">
      <alignment horizontal="left" vertical="center" wrapText="1"/>
    </xf>
    <xf numFmtId="0" fontId="163" fillId="0" borderId="0" xfId="109" applyFont="1" applyBorder="1" applyAlignment="1" applyProtection="1">
      <alignment horizontal="left" vertical="center" wrapText="1"/>
    </xf>
    <xf numFmtId="49" fontId="163" fillId="0" borderId="67" xfId="109" applyNumberFormat="1" applyFont="1" applyBorder="1" applyAlignment="1" applyProtection="1">
      <alignment horizontal="left" vertical="center" wrapText="1"/>
    </xf>
    <xf numFmtId="0" fontId="163" fillId="0" borderId="68" xfId="109" applyFont="1" applyBorder="1" applyAlignment="1" applyProtection="1">
      <alignment horizontal="left" vertical="center" wrapText="1"/>
    </xf>
    <xf numFmtId="0" fontId="163" fillId="0" borderId="12" xfId="109" applyFont="1" applyBorder="1" applyAlignment="1" applyProtection="1">
      <alignment horizontal="left" vertical="center" wrapText="1"/>
    </xf>
    <xf numFmtId="0" fontId="162" fillId="0" borderId="101" xfId="109" applyFont="1" applyBorder="1" applyAlignment="1" applyProtection="1">
      <alignment horizontal="center" vertical="top" wrapText="1"/>
    </xf>
    <xf numFmtId="0" fontId="162" fillId="0" borderId="101" xfId="109" applyFont="1" applyBorder="1" applyAlignment="1" applyProtection="1">
      <alignment horizontal="center" vertical="center" wrapText="1"/>
      <protection locked="0"/>
    </xf>
    <xf numFmtId="0" fontId="162" fillId="0" borderId="101" xfId="109" applyFont="1" applyBorder="1" applyAlignment="1" applyProtection="1">
      <alignment horizontal="justify" vertical="center" wrapText="1"/>
      <protection locked="0"/>
    </xf>
    <xf numFmtId="0" fontId="162" fillId="0" borderId="101" xfId="109" quotePrefix="1" applyFont="1" applyBorder="1" applyAlignment="1" applyProtection="1">
      <alignment horizontal="center" vertical="center" wrapText="1"/>
      <protection locked="0"/>
    </xf>
    <xf numFmtId="0" fontId="162" fillId="0" borderId="107" xfId="109" applyFont="1" applyBorder="1" applyAlignment="1" applyProtection="1">
      <alignment horizontal="justify" vertical="center" wrapText="1"/>
    </xf>
    <xf numFmtId="0" fontId="162" fillId="0" borderId="12" xfId="109" applyFont="1" applyBorder="1" applyAlignment="1" applyProtection="1">
      <alignment horizontal="justify" vertical="center" wrapText="1"/>
    </xf>
    <xf numFmtId="0" fontId="162" fillId="0" borderId="75" xfId="109" applyFont="1" applyBorder="1" applyAlignment="1" applyProtection="1">
      <alignment horizontal="justify" vertical="center" wrapText="1"/>
    </xf>
    <xf numFmtId="0" fontId="162" fillId="0" borderId="17" xfId="109" applyFont="1" applyBorder="1" applyAlignment="1" applyProtection="1">
      <alignment horizontal="justify" vertical="center" wrapText="1"/>
    </xf>
    <xf numFmtId="0" fontId="162" fillId="0" borderId="18" xfId="109" applyFont="1" applyBorder="1" applyAlignment="1" applyProtection="1">
      <alignment horizontal="justify" vertical="center" wrapText="1"/>
    </xf>
    <xf numFmtId="0" fontId="117" fillId="0" borderId="0" xfId="109" applyFont="1" applyBorder="1" applyAlignment="1" applyProtection="1">
      <alignment horizontal="center"/>
    </xf>
    <xf numFmtId="0" fontId="169" fillId="0" borderId="0" xfId="109" applyFont="1" applyBorder="1" applyAlignment="1" applyProtection="1">
      <alignment horizontal="center"/>
    </xf>
    <xf numFmtId="188" fontId="170" fillId="0" borderId="67" xfId="109" applyNumberFormat="1" applyFont="1" applyBorder="1" applyAlignment="1" applyProtection="1">
      <alignment horizontal="center" vertical="center" wrapText="1"/>
    </xf>
    <xf numFmtId="49" fontId="171" fillId="0" borderId="0" xfId="109" applyNumberFormat="1" applyFont="1" applyBorder="1" applyAlignment="1" applyProtection="1">
      <alignment horizontal="center"/>
    </xf>
    <xf numFmtId="0" fontId="171" fillId="0" borderId="0" xfId="109" applyFont="1" applyBorder="1" applyAlignment="1" applyProtection="1">
      <alignment horizontal="center"/>
    </xf>
    <xf numFmtId="0" fontId="19" fillId="25" borderId="10" xfId="76" applyFont="1" applyFill="1" applyBorder="1" applyAlignment="1" applyProtection="1">
      <alignment horizontal="center" vertical="center"/>
    </xf>
    <xf numFmtId="0" fontId="19" fillId="25" borderId="0" xfId="76" applyFont="1" applyFill="1" applyAlignment="1" applyProtection="1">
      <alignment horizontal="center" vertical="center"/>
    </xf>
    <xf numFmtId="0" fontId="146" fillId="25" borderId="0" xfId="76" applyFont="1" applyFill="1" applyBorder="1" applyAlignment="1" applyProtection="1">
      <alignment horizontal="center" wrapText="1"/>
    </xf>
    <xf numFmtId="0" fontId="146" fillId="25" borderId="0" xfId="76" applyFont="1" applyFill="1" applyBorder="1" applyAlignment="1" applyProtection="1">
      <alignment horizontal="center"/>
    </xf>
    <xf numFmtId="0" fontId="140" fillId="27" borderId="101" xfId="76" applyFont="1" applyFill="1" applyBorder="1" applyAlignment="1" applyProtection="1">
      <alignment horizontal="center" vertical="center"/>
    </xf>
    <xf numFmtId="14" fontId="140" fillId="25" borderId="101" xfId="76" applyNumberFormat="1" applyFont="1" applyFill="1" applyBorder="1" applyAlignment="1" applyProtection="1">
      <alignment horizontal="center" vertical="center"/>
    </xf>
    <xf numFmtId="185" fontId="140" fillId="25" borderId="101" xfId="76" applyNumberFormat="1" applyFont="1" applyFill="1" applyBorder="1" applyAlignment="1" applyProtection="1">
      <alignment horizontal="center" vertical="center" shrinkToFit="1"/>
    </xf>
    <xf numFmtId="0" fontId="140" fillId="27" borderId="109" xfId="76" applyFont="1" applyFill="1" applyBorder="1" applyAlignment="1" applyProtection="1">
      <alignment horizontal="center" vertical="center"/>
    </xf>
    <xf numFmtId="0" fontId="140" fillId="27" borderId="122" xfId="76" applyFont="1" applyFill="1" applyBorder="1" applyAlignment="1" applyProtection="1">
      <alignment horizontal="center" vertical="center"/>
    </xf>
    <xf numFmtId="0" fontId="140" fillId="25" borderId="109" xfId="76" applyFont="1" applyFill="1" applyBorder="1" applyAlignment="1" applyProtection="1">
      <alignment horizontal="center" vertical="center"/>
    </xf>
    <xf numFmtId="0" fontId="140" fillId="25" borderId="122" xfId="76" applyFont="1" applyFill="1" applyBorder="1" applyAlignment="1" applyProtection="1">
      <alignment horizontal="center" vertical="center"/>
    </xf>
    <xf numFmtId="49" fontId="140" fillId="25" borderId="109" xfId="76" applyNumberFormat="1" applyFont="1" applyFill="1" applyBorder="1" applyAlignment="1" applyProtection="1">
      <alignment horizontal="center" vertical="center"/>
    </xf>
    <xf numFmtId="49" fontId="140" fillId="25" borderId="122" xfId="76" applyNumberFormat="1" applyFont="1" applyFill="1" applyBorder="1" applyAlignment="1" applyProtection="1">
      <alignment horizontal="center" vertical="center"/>
    </xf>
    <xf numFmtId="0" fontId="140" fillId="27" borderId="123" xfId="76" applyFont="1" applyFill="1" applyBorder="1" applyAlignment="1" applyProtection="1">
      <alignment horizontal="center" vertical="center"/>
    </xf>
    <xf numFmtId="49" fontId="145" fillId="25" borderId="123" xfId="76" applyNumberFormat="1" applyFont="1" applyFill="1" applyBorder="1" applyAlignment="1" applyProtection="1">
      <alignment horizontal="center" vertical="center"/>
    </xf>
    <xf numFmtId="171" fontId="140" fillId="27" borderId="123" xfId="76" applyNumberFormat="1" applyFont="1" applyFill="1" applyBorder="1" applyAlignment="1" applyProtection="1">
      <alignment horizontal="center" vertical="center"/>
    </xf>
    <xf numFmtId="0" fontId="145" fillId="25" borderId="123" xfId="76" applyFont="1" applyFill="1" applyBorder="1" applyAlignment="1" applyProtection="1">
      <alignment horizontal="center" vertical="center"/>
    </xf>
    <xf numFmtId="49" fontId="140" fillId="25" borderId="123" xfId="76" applyNumberFormat="1" applyFont="1" applyFill="1" applyBorder="1" applyAlignment="1" applyProtection="1">
      <alignment horizontal="center" vertical="center"/>
    </xf>
    <xf numFmtId="0" fontId="140" fillId="25" borderId="123" xfId="76" applyNumberFormat="1" applyFont="1" applyFill="1" applyBorder="1" applyAlignment="1" applyProtection="1">
      <alignment horizontal="center" vertical="center"/>
    </xf>
    <xf numFmtId="185" fontId="140" fillId="25" borderId="123" xfId="76" applyNumberFormat="1" applyFont="1" applyFill="1" applyBorder="1" applyAlignment="1" applyProtection="1">
      <alignment horizontal="center" vertical="center" shrinkToFit="1"/>
    </xf>
    <xf numFmtId="0" fontId="140" fillId="25" borderId="123" xfId="76" applyFont="1" applyFill="1" applyBorder="1" applyAlignment="1" applyProtection="1">
      <alignment horizontal="center" vertical="center"/>
    </xf>
    <xf numFmtId="14" fontId="140" fillId="25" borderId="123" xfId="76" applyNumberFormat="1" applyFont="1" applyFill="1" applyBorder="1" applyAlignment="1" applyProtection="1">
      <alignment horizontal="center" vertical="center"/>
    </xf>
    <xf numFmtId="0" fontId="174" fillId="26" borderId="77" xfId="0" applyFont="1" applyFill="1" applyBorder="1" applyAlignment="1" applyProtection="1">
      <alignment horizontal="center" vertical="center"/>
    </xf>
    <xf numFmtId="0" fontId="173" fillId="25" borderId="0" xfId="69" applyFont="1" applyFill="1" applyBorder="1" applyAlignment="1" applyProtection="1">
      <alignment horizontal="center" wrapText="1"/>
    </xf>
    <xf numFmtId="0" fontId="25" fillId="25" borderId="109" xfId="0" quotePrefix="1" applyFont="1" applyFill="1" applyBorder="1" applyAlignment="1" applyProtection="1">
      <alignment horizontal="center" vertical="center"/>
      <protection locked="0"/>
    </xf>
    <xf numFmtId="0" fontId="25" fillId="25" borderId="110" xfId="0" quotePrefix="1" applyFont="1" applyFill="1" applyBorder="1" applyAlignment="1" applyProtection="1">
      <alignment horizontal="center" vertical="center"/>
      <protection locked="0"/>
    </xf>
    <xf numFmtId="0" fontId="57" fillId="25" borderId="109" xfId="0" quotePrefix="1" applyFont="1" applyFill="1" applyBorder="1" applyAlignment="1" applyProtection="1">
      <alignment horizontal="left" vertical="center"/>
      <protection locked="0"/>
    </xf>
    <xf numFmtId="0" fontId="57" fillId="25" borderId="110" xfId="0" quotePrefix="1" applyFont="1" applyFill="1" applyBorder="1" applyAlignment="1" applyProtection="1">
      <alignment horizontal="left" vertical="center"/>
      <protection locked="0"/>
    </xf>
    <xf numFmtId="0" fontId="57" fillId="25" borderId="109" xfId="0" applyFont="1" applyFill="1" applyBorder="1" applyAlignment="1" applyProtection="1">
      <alignment horizontal="left" vertical="center"/>
      <protection locked="0"/>
    </xf>
    <xf numFmtId="0" fontId="57" fillId="25" borderId="110" xfId="0" applyFont="1" applyFill="1" applyBorder="1" applyAlignment="1" applyProtection="1">
      <alignment horizontal="left" vertical="center"/>
      <protection locked="0"/>
    </xf>
    <xf numFmtId="0" fontId="25" fillId="25" borderId="109" xfId="0" applyFont="1" applyFill="1" applyBorder="1" applyAlignment="1" applyProtection="1">
      <alignment vertical="center"/>
      <protection locked="0"/>
    </xf>
    <xf numFmtId="0" fontId="25" fillId="25" borderId="110" xfId="0" applyFont="1" applyFill="1" applyBorder="1" applyAlignment="1" applyProtection="1">
      <alignment vertical="center"/>
      <protection locked="0"/>
    </xf>
    <xf numFmtId="0" fontId="24" fillId="25" borderId="109" xfId="0" quotePrefix="1" applyFont="1" applyFill="1" applyBorder="1" applyAlignment="1" applyProtection="1">
      <alignment horizontal="center"/>
      <protection locked="0"/>
    </xf>
    <xf numFmtId="0" fontId="24" fillId="25" borderId="110" xfId="0" quotePrefix="1" applyFont="1" applyFill="1" applyBorder="1" applyAlignment="1" applyProtection="1">
      <alignment horizontal="center"/>
      <protection locked="0"/>
    </xf>
    <xf numFmtId="0" fontId="25" fillId="25" borderId="109" xfId="0" quotePrefix="1" applyFont="1" applyFill="1" applyBorder="1" applyAlignment="1" applyProtection="1">
      <alignment vertical="center"/>
      <protection locked="0"/>
    </xf>
    <xf numFmtId="0" fontId="25" fillId="25" borderId="110" xfId="0" quotePrefix="1" applyFont="1" applyFill="1" applyBorder="1" applyAlignment="1" applyProtection="1">
      <alignment vertical="center"/>
      <protection locked="0"/>
    </xf>
    <xf numFmtId="0" fontId="19" fillId="25" borderId="109" xfId="0" applyFont="1" applyFill="1" applyBorder="1" applyAlignment="1" applyProtection="1">
      <alignment horizontal="left" vertical="center"/>
      <protection locked="0"/>
    </xf>
    <xf numFmtId="0" fontId="19" fillId="25" borderId="110" xfId="0" applyFont="1" applyFill="1" applyBorder="1" applyAlignment="1" applyProtection="1">
      <alignment horizontal="left" vertical="center"/>
      <protection locked="0"/>
    </xf>
    <xf numFmtId="0" fontId="25" fillId="25" borderId="23" xfId="30" applyNumberFormat="1" applyFont="1" applyFill="1" applyBorder="1" applyAlignment="1" applyProtection="1">
      <alignment horizontal="center" vertical="center"/>
    </xf>
    <xf numFmtId="0" fontId="25" fillId="25" borderId="24" xfId="30" applyNumberFormat="1" applyFont="1" applyFill="1" applyBorder="1" applyAlignment="1" applyProtection="1">
      <alignment horizontal="center" vertical="center"/>
    </xf>
    <xf numFmtId="14" fontId="25" fillId="25" borderId="34" xfId="0" applyNumberFormat="1" applyFont="1" applyFill="1" applyBorder="1" applyAlignment="1" applyProtection="1">
      <alignment horizontal="center" vertical="center" shrinkToFit="1"/>
    </xf>
    <xf numFmtId="14" fontId="25" fillId="25" borderId="33" xfId="0" applyNumberFormat="1" applyFont="1" applyFill="1" applyBorder="1" applyAlignment="1" applyProtection="1">
      <alignment horizontal="center" vertical="center" shrinkToFit="1"/>
    </xf>
    <xf numFmtId="0" fontId="25" fillId="25" borderId="34" xfId="0" applyNumberFormat="1" applyFont="1" applyFill="1" applyBorder="1" applyAlignment="1" applyProtection="1">
      <alignment horizontal="center" vertical="center"/>
    </xf>
    <xf numFmtId="0" fontId="25" fillId="25" borderId="33" xfId="0" applyNumberFormat="1" applyFont="1" applyFill="1" applyBorder="1" applyAlignment="1" applyProtection="1">
      <alignment horizontal="center" vertical="center"/>
    </xf>
    <xf numFmtId="49" fontId="57" fillId="26" borderId="9" xfId="0" applyNumberFormat="1" applyFont="1" applyFill="1" applyBorder="1" applyAlignment="1" applyProtection="1">
      <alignment horizontal="center" vertical="center"/>
    </xf>
    <xf numFmtId="49" fontId="57" fillId="26" borderId="14" xfId="0" applyNumberFormat="1" applyFont="1" applyFill="1" applyBorder="1" applyAlignment="1" applyProtection="1">
      <alignment horizontal="center" vertical="center"/>
    </xf>
    <xf numFmtId="0" fontId="119" fillId="25" borderId="0" xfId="0" applyFont="1" applyFill="1" applyBorder="1" applyAlignment="1" applyProtection="1">
      <alignment horizontal="center" vertical="center" wrapText="1"/>
    </xf>
    <xf numFmtId="0" fontId="119" fillId="25" borderId="0" xfId="0" applyFont="1" applyFill="1" applyBorder="1" applyAlignment="1" applyProtection="1">
      <alignment horizontal="center" vertical="center"/>
    </xf>
    <xf numFmtId="0" fontId="57" fillId="27" borderId="34" xfId="0" applyFont="1" applyFill="1" applyBorder="1" applyAlignment="1" applyProtection="1">
      <alignment horizontal="center" vertical="center"/>
    </xf>
    <xf numFmtId="0" fontId="57" fillId="27" borderId="33" xfId="0" applyFont="1" applyFill="1" applyBorder="1" applyAlignment="1" applyProtection="1">
      <alignment horizontal="center" vertical="center"/>
    </xf>
    <xf numFmtId="0" fontId="148" fillId="25" borderId="34" xfId="0" applyFont="1" applyFill="1" applyBorder="1" applyAlignment="1" applyProtection="1">
      <alignment horizontal="center" vertical="center"/>
    </xf>
    <xf numFmtId="0" fontId="148" fillId="25" borderId="33" xfId="0" applyFont="1" applyFill="1" applyBorder="1" applyAlignment="1" applyProtection="1">
      <alignment horizontal="center" vertical="center"/>
    </xf>
    <xf numFmtId="49" fontId="151" fillId="0" borderId="71" xfId="109" applyNumberFormat="1" applyFont="1" applyBorder="1" applyAlignment="1">
      <alignment horizontal="center" vertical="center" wrapText="1"/>
    </xf>
    <xf numFmtId="0" fontId="151" fillId="0" borderId="71" xfId="109" applyFont="1" applyBorder="1" applyAlignment="1">
      <alignment horizontal="center" vertical="center" wrapText="1"/>
    </xf>
    <xf numFmtId="184" fontId="151" fillId="0" borderId="113" xfId="109" applyNumberFormat="1" applyFont="1" applyBorder="1" applyAlignment="1">
      <alignment vertical="center" wrapText="1"/>
    </xf>
    <xf numFmtId="184" fontId="151" fillId="0" borderId="98" xfId="109" applyNumberFormat="1" applyFont="1" applyBorder="1" applyAlignment="1">
      <alignment vertical="center" wrapText="1"/>
    </xf>
    <xf numFmtId="184" fontId="151" fillId="0" borderId="112" xfId="109" applyNumberFormat="1" applyFont="1" applyBorder="1" applyAlignment="1">
      <alignment vertical="center" wrapText="1"/>
    </xf>
    <xf numFmtId="0" fontId="151" fillId="0" borderId="71" xfId="109" applyFont="1" applyBorder="1" applyAlignment="1">
      <alignment horizontal="justify" vertical="center" wrapText="1"/>
    </xf>
    <xf numFmtId="184" fontId="151" fillId="0" borderId="113" xfId="109" applyNumberFormat="1" applyFont="1" applyFill="1" applyBorder="1" applyAlignment="1">
      <alignment vertical="center" wrapText="1"/>
    </xf>
    <xf numFmtId="184" fontId="151" fillId="0" borderId="98" xfId="109" applyNumberFormat="1" applyFont="1" applyFill="1" applyBorder="1" applyAlignment="1">
      <alignment vertical="center" wrapText="1"/>
    </xf>
    <xf numFmtId="184" fontId="151" fillId="0" borderId="112" xfId="109" applyNumberFormat="1" applyFont="1" applyFill="1" applyBorder="1" applyAlignment="1">
      <alignment vertical="center" wrapText="1"/>
    </xf>
    <xf numFmtId="49" fontId="159" fillId="0" borderId="0" xfId="109" applyNumberFormat="1" applyFont="1" applyBorder="1" applyAlignment="1">
      <alignment horizontal="right"/>
    </xf>
    <xf numFmtId="0" fontId="159" fillId="0" borderId="0" xfId="109" applyFont="1" applyBorder="1" applyAlignment="1">
      <alignment horizontal="right"/>
    </xf>
    <xf numFmtId="0" fontId="159" fillId="0" borderId="56" xfId="109" applyFont="1" applyBorder="1" applyAlignment="1">
      <alignment horizontal="right"/>
    </xf>
    <xf numFmtId="0" fontId="155" fillId="0" borderId="55" xfId="109" applyFont="1" applyBorder="1" applyAlignment="1">
      <alignment horizontal="left" vertical="top" wrapText="1"/>
    </xf>
    <xf numFmtId="0" fontId="155" fillId="0" borderId="0" xfId="109" applyFont="1" applyBorder="1" applyAlignment="1">
      <alignment horizontal="left" vertical="top" wrapText="1"/>
    </xf>
    <xf numFmtId="0" fontId="155" fillId="0" borderId="56" xfId="109" applyFont="1" applyBorder="1" applyAlignment="1">
      <alignment horizontal="left" vertical="top" wrapText="1"/>
    </xf>
    <xf numFmtId="189" fontId="152" fillId="32" borderId="55" xfId="109" applyNumberFormat="1" applyFont="1" applyFill="1" applyBorder="1" applyAlignment="1">
      <alignment horizontal="center" vertical="center" wrapText="1"/>
    </xf>
    <xf numFmtId="189" fontId="152" fillId="32" borderId="0" xfId="109" applyNumberFormat="1" applyFont="1" applyFill="1" applyBorder="1" applyAlignment="1">
      <alignment horizontal="center" vertical="center" wrapText="1"/>
    </xf>
    <xf numFmtId="0" fontId="150" fillId="0" borderId="0" xfId="109" applyFont="1" applyAlignment="1">
      <alignment vertical="center"/>
    </xf>
    <xf numFmtId="0" fontId="29" fillId="0" borderId="0" xfId="109" applyFont="1" applyAlignment="1">
      <alignment horizontal="center" vertical="center"/>
    </xf>
    <xf numFmtId="0" fontId="151" fillId="0" borderId="71" xfId="109" applyFont="1" applyBorder="1" applyAlignment="1">
      <alignment horizontal="left" vertical="center" wrapText="1"/>
    </xf>
    <xf numFmtId="0" fontId="152" fillId="0" borderId="71" xfId="109" applyFont="1" applyBorder="1" applyAlignment="1">
      <alignment horizontal="left" vertical="center" wrapText="1"/>
    </xf>
    <xf numFmtId="49" fontId="152" fillId="0" borderId="71" xfId="109" applyNumberFormat="1" applyFont="1" applyBorder="1" applyAlignment="1">
      <alignment horizontal="left" vertical="center" wrapText="1"/>
    </xf>
    <xf numFmtId="0" fontId="152" fillId="0" borderId="71" xfId="109" applyNumberFormat="1" applyFont="1" applyBorder="1" applyAlignment="1">
      <alignment horizontal="left" vertical="center" wrapText="1"/>
    </xf>
    <xf numFmtId="0" fontId="151" fillId="0" borderId="113" xfId="109" applyFont="1" applyBorder="1" applyAlignment="1">
      <alignment horizontal="center" vertical="center" wrapText="1"/>
    </xf>
    <xf numFmtId="0" fontId="151" fillId="0" borderId="98" xfId="109" applyFont="1" applyBorder="1" applyAlignment="1">
      <alignment horizontal="center" vertical="center" wrapText="1"/>
    </xf>
    <xf numFmtId="0" fontId="151" fillId="0" borderId="112" xfId="109" applyFont="1" applyBorder="1" applyAlignment="1">
      <alignment horizontal="center" vertical="center" wrapText="1"/>
    </xf>
    <xf numFmtId="49" fontId="152" fillId="0" borderId="52" xfId="109" applyNumberFormat="1" applyFont="1" applyBorder="1" applyAlignment="1">
      <alignment horizontal="left" vertical="center" wrapText="1"/>
    </xf>
    <xf numFmtId="49" fontId="152" fillId="0" borderId="53" xfId="109" applyNumberFormat="1" applyFont="1" applyBorder="1" applyAlignment="1">
      <alignment horizontal="left" vertical="center" wrapText="1"/>
    </xf>
    <xf numFmtId="49" fontId="152" fillId="0" borderId="54" xfId="109" applyNumberFormat="1" applyFont="1" applyBorder="1" applyAlignment="1">
      <alignment horizontal="left" vertical="center" wrapText="1"/>
    </xf>
    <xf numFmtId="49" fontId="152" fillId="0" borderId="111" xfId="109" applyNumberFormat="1" applyFont="1" applyBorder="1" applyAlignment="1">
      <alignment horizontal="left" vertical="center" wrapText="1"/>
    </xf>
    <xf numFmtId="49" fontId="152" fillId="0" borderId="114" xfId="109" applyNumberFormat="1" applyFont="1" applyBorder="1" applyAlignment="1">
      <alignment horizontal="left" vertical="center" wrapText="1"/>
    </xf>
    <xf numFmtId="49" fontId="152" fillId="0" borderId="115" xfId="109" applyNumberFormat="1" applyFont="1" applyBorder="1" applyAlignment="1">
      <alignment horizontal="left" vertical="center" wrapText="1"/>
    </xf>
    <xf numFmtId="0" fontId="139" fillId="27" borderId="122" xfId="69" applyFont="1" applyFill="1" applyBorder="1" applyAlignment="1" applyProtection="1">
      <alignment horizontal="center" vertical="center"/>
    </xf>
    <xf numFmtId="0" fontId="139" fillId="25" borderId="109" xfId="69" applyNumberFormat="1" applyFont="1" applyFill="1" applyBorder="1" applyAlignment="1" applyProtection="1">
      <alignment horizontal="center" vertical="center"/>
    </xf>
    <xf numFmtId="0" fontId="139" fillId="25" borderId="122" xfId="69" applyNumberFormat="1" applyFont="1" applyFill="1" applyBorder="1" applyAlignment="1" applyProtection="1">
      <alignment horizontal="center" vertical="center"/>
    </xf>
    <xf numFmtId="0" fontId="139" fillId="25" borderId="110" xfId="69" applyNumberFormat="1" applyFont="1" applyFill="1" applyBorder="1" applyAlignment="1" applyProtection="1">
      <alignment horizontal="center" vertical="center"/>
    </xf>
    <xf numFmtId="0" fontId="172" fillId="25" borderId="106" xfId="0" applyFont="1" applyFill="1" applyBorder="1" applyAlignment="1" applyProtection="1">
      <alignment horizontal="center" vertical="center"/>
    </xf>
    <xf numFmtId="0" fontId="172" fillId="25" borderId="67" xfId="0" applyFont="1" applyFill="1" applyBorder="1" applyAlignment="1" applyProtection="1">
      <alignment horizontal="center" vertical="center"/>
    </xf>
    <xf numFmtId="0" fontId="172" fillId="25" borderId="68" xfId="0" applyFont="1" applyFill="1" applyBorder="1" applyAlignment="1" applyProtection="1">
      <alignment horizontal="center" vertical="center"/>
    </xf>
    <xf numFmtId="0" fontId="139" fillId="27" borderId="101" xfId="69" applyFont="1" applyFill="1" applyBorder="1" applyAlignment="1" applyProtection="1">
      <alignment horizontal="center" vertical="center"/>
    </xf>
    <xf numFmtId="49" fontId="139" fillId="25" borderId="101" xfId="69" applyNumberFormat="1" applyFont="1" applyFill="1" applyBorder="1" applyAlignment="1" applyProtection="1">
      <alignment horizontal="center" vertical="center"/>
    </xf>
    <xf numFmtId="0" fontId="139" fillId="25" borderId="101" xfId="69" applyNumberFormat="1" applyFont="1" applyFill="1" applyBorder="1" applyAlignment="1" applyProtection="1">
      <alignment horizontal="center" vertical="center"/>
    </xf>
    <xf numFmtId="0" fontId="139" fillId="25" borderId="101" xfId="69" applyFont="1" applyFill="1" applyBorder="1" applyAlignment="1" applyProtection="1">
      <alignment horizontal="center" vertical="center"/>
    </xf>
    <xf numFmtId="0" fontId="175" fillId="25" borderId="107" xfId="0" applyFont="1" applyFill="1" applyBorder="1" applyAlignment="1" applyProtection="1">
      <alignment horizontal="center" vertical="center"/>
    </xf>
    <xf numFmtId="0" fontId="175" fillId="25" borderId="0" xfId="0" applyFont="1" applyFill="1" applyBorder="1" applyAlignment="1" applyProtection="1">
      <alignment horizontal="center" vertical="center"/>
    </xf>
    <xf numFmtId="0" fontId="175" fillId="25" borderId="12" xfId="0" applyFont="1" applyFill="1" applyBorder="1" applyAlignment="1" applyProtection="1">
      <alignment horizontal="center" vertical="center"/>
    </xf>
    <xf numFmtId="182" fontId="142" fillId="25" borderId="101" xfId="69" applyNumberFormat="1" applyFont="1" applyFill="1" applyBorder="1" applyAlignment="1" applyProtection="1">
      <alignment horizontal="center" vertical="center"/>
    </xf>
    <xf numFmtId="2" fontId="139" fillId="25" borderId="109" xfId="69" applyNumberFormat="1" applyFont="1" applyFill="1" applyBorder="1" applyAlignment="1" applyProtection="1">
      <alignment horizontal="center" vertical="center" shrinkToFit="1"/>
    </xf>
    <xf numFmtId="2" fontId="139" fillId="25" borderId="122" xfId="69" applyNumberFormat="1" applyFont="1" applyFill="1" applyBorder="1" applyAlignment="1" applyProtection="1">
      <alignment horizontal="center" vertical="center" shrinkToFit="1"/>
    </xf>
    <xf numFmtId="2" fontId="139" fillId="25" borderId="110" xfId="69" applyNumberFormat="1" applyFont="1" applyFill="1" applyBorder="1" applyAlignment="1" applyProtection="1">
      <alignment horizontal="center" vertical="center" shrinkToFit="1"/>
    </xf>
    <xf numFmtId="0" fontId="175" fillId="25" borderId="0" xfId="0" applyFont="1" applyFill="1" applyBorder="1" applyAlignment="1">
      <alignment horizontal="center"/>
    </xf>
    <xf numFmtId="0" fontId="175" fillId="25" borderId="0" xfId="0" applyFont="1" applyFill="1" applyBorder="1" applyAlignment="1">
      <alignment horizontal="center" vertical="center"/>
    </xf>
    <xf numFmtId="0" fontId="17" fillId="0" borderId="27" xfId="76" applyNumberFormat="1" applyFont="1" applyFill="1" applyBorder="1" applyAlignment="1" applyProtection="1">
      <alignment horizontal="left" vertical="center"/>
    </xf>
    <xf numFmtId="0" fontId="17" fillId="0" borderId="30" xfId="76" applyNumberFormat="1" applyFont="1" applyFill="1" applyBorder="1" applyAlignment="1" applyProtection="1">
      <alignment horizontal="left" vertical="center"/>
    </xf>
    <xf numFmtId="0" fontId="17" fillId="0" borderId="28" xfId="76" applyNumberFormat="1" applyFont="1" applyFill="1" applyBorder="1" applyAlignment="1" applyProtection="1">
      <alignment horizontal="left" vertical="center"/>
    </xf>
    <xf numFmtId="0" fontId="17" fillId="0" borderId="23" xfId="76" applyNumberFormat="1" applyFont="1" applyFill="1" applyBorder="1" applyAlignment="1" applyProtection="1">
      <alignment horizontal="left" vertical="center"/>
    </xf>
    <xf numFmtId="0" fontId="17" fillId="0" borderId="26" xfId="76" applyNumberFormat="1" applyFont="1" applyFill="1" applyBorder="1" applyAlignment="1" applyProtection="1">
      <alignment horizontal="left" vertical="center"/>
    </xf>
    <xf numFmtId="0" fontId="17" fillId="0" borderId="24" xfId="76" applyNumberFormat="1" applyFont="1" applyFill="1" applyBorder="1" applyAlignment="1" applyProtection="1">
      <alignment horizontal="left" vertical="center"/>
    </xf>
    <xf numFmtId="0" fontId="17" fillId="0" borderId="129" xfId="76" applyNumberFormat="1" applyFont="1" applyFill="1" applyBorder="1" applyAlignment="1" applyProtection="1">
      <alignment horizontal="left" vertical="center"/>
    </xf>
    <xf numFmtId="0" fontId="17" fillId="0" borderId="130" xfId="76" applyNumberFormat="1" applyFont="1" applyFill="1" applyBorder="1" applyAlignment="1" applyProtection="1">
      <alignment horizontal="left" vertical="center"/>
    </xf>
    <xf numFmtId="0" fontId="17" fillId="0" borderId="131" xfId="76" applyNumberFormat="1" applyFont="1" applyFill="1" applyBorder="1" applyAlignment="1" applyProtection="1">
      <alignment horizontal="left" vertical="center"/>
    </xf>
    <xf numFmtId="0" fontId="122" fillId="0" borderId="132" xfId="76" applyNumberFormat="1" applyFont="1" applyFill="1" applyBorder="1" applyAlignment="1" applyProtection="1">
      <alignment horizontal="center" vertical="center"/>
    </xf>
    <xf numFmtId="0" fontId="122" fillId="0" borderId="133" xfId="76" applyNumberFormat="1" applyFont="1" applyFill="1" applyBorder="1" applyAlignment="1" applyProtection="1">
      <alignment horizontal="center" vertical="center"/>
    </xf>
    <xf numFmtId="0" fontId="122" fillId="0" borderId="134" xfId="76" applyNumberFormat="1" applyFont="1" applyFill="1" applyBorder="1" applyAlignment="1" applyProtection="1">
      <alignment horizontal="center" vertical="center"/>
    </xf>
    <xf numFmtId="49" fontId="45" fillId="25" borderId="0" xfId="76" applyNumberFormat="1" applyFont="1" applyFill="1" applyBorder="1" applyAlignment="1" applyProtection="1">
      <alignment horizontal="center"/>
    </xf>
    <xf numFmtId="0" fontId="45" fillId="25" borderId="0" xfId="76" applyNumberFormat="1" applyFont="1" applyFill="1" applyBorder="1" applyAlignment="1" applyProtection="1">
      <alignment horizontal="center"/>
    </xf>
    <xf numFmtId="0" fontId="8" fillId="25" borderId="35" xfId="76" applyNumberFormat="1" applyFont="1" applyFill="1" applyBorder="1" applyAlignment="1" applyProtection="1">
      <alignment horizontal="center" vertical="center"/>
    </xf>
    <xf numFmtId="0" fontId="8" fillId="25" borderId="37" xfId="76" applyNumberFormat="1" applyFont="1" applyFill="1" applyBorder="1" applyAlignment="1" applyProtection="1">
      <alignment horizontal="center" vertical="center"/>
    </xf>
    <xf numFmtId="0" fontId="8" fillId="25" borderId="0" xfId="76" applyFont="1" applyFill="1" applyBorder="1" applyAlignment="1" applyProtection="1">
      <alignment horizontal="center" vertical="center"/>
    </xf>
    <xf numFmtId="0" fontId="8" fillId="0" borderId="23" xfId="76" applyNumberFormat="1" applyFont="1" applyFill="1" applyBorder="1" applyAlignment="1" applyProtection="1">
      <alignment horizontal="center" vertical="center" wrapText="1"/>
    </xf>
    <xf numFmtId="0" fontId="8" fillId="0" borderId="24" xfId="76" applyNumberFormat="1" applyFont="1" applyFill="1" applyBorder="1" applyAlignment="1" applyProtection="1">
      <alignment horizontal="center" vertical="center" wrapText="1"/>
    </xf>
    <xf numFmtId="0" fontId="8" fillId="0" borderId="27" xfId="76" applyNumberFormat="1" applyFont="1" applyFill="1" applyBorder="1" applyAlignment="1" applyProtection="1">
      <alignment horizontal="center" vertical="center" wrapText="1"/>
    </xf>
    <xf numFmtId="0" fontId="8" fillId="0" borderId="28" xfId="76" applyNumberFormat="1" applyFont="1" applyFill="1" applyBorder="1" applyAlignment="1" applyProtection="1">
      <alignment horizontal="center" vertical="center" wrapText="1"/>
    </xf>
    <xf numFmtId="49" fontId="27" fillId="0" borderId="0" xfId="76" applyNumberFormat="1" applyFont="1" applyFill="1" applyAlignment="1" applyProtection="1">
      <alignment horizontal="center" vertical="center"/>
    </xf>
    <xf numFmtId="49" fontId="60" fillId="0" borderId="0" xfId="76" applyNumberFormat="1" applyFont="1" applyFill="1" applyAlignment="1" applyProtection="1">
      <alignment horizontal="center"/>
    </xf>
    <xf numFmtId="169" fontId="138" fillId="0" borderId="10" xfId="76" applyNumberFormat="1" applyFont="1" applyFill="1" applyBorder="1" applyAlignment="1" applyProtection="1">
      <alignment horizontal="center" vertical="center"/>
    </xf>
    <xf numFmtId="169" fontId="138" fillId="0" borderId="12" xfId="76" applyNumberFormat="1" applyFont="1" applyFill="1" applyBorder="1" applyAlignment="1" applyProtection="1">
      <alignment horizontal="center" vertical="center"/>
    </xf>
    <xf numFmtId="0" fontId="8" fillId="0" borderId="17" xfId="76" applyNumberFormat="1" applyFont="1" applyFill="1" applyBorder="1" applyAlignment="1" applyProtection="1">
      <alignment shrinkToFit="1"/>
    </xf>
    <xf numFmtId="49" fontId="49" fillId="0" borderId="9" xfId="76" applyNumberFormat="1" applyFont="1" applyFill="1" applyBorder="1" applyAlignment="1" applyProtection="1">
      <alignment horizontal="center" vertical="center" wrapText="1"/>
    </xf>
    <xf numFmtId="49" fontId="49" fillId="0" borderId="102" xfId="76" applyNumberFormat="1" applyFont="1" applyFill="1" applyBorder="1" applyAlignment="1" applyProtection="1">
      <alignment horizontal="center" vertical="center" wrapText="1"/>
    </xf>
    <xf numFmtId="49" fontId="49" fillId="0" borderId="75" xfId="76" applyNumberFormat="1" applyFont="1" applyFill="1" applyBorder="1" applyAlignment="1" applyProtection="1">
      <alignment horizontal="center" vertical="center" wrapText="1"/>
    </xf>
    <xf numFmtId="49" fontId="49" fillId="0" borderId="18" xfId="76" applyNumberFormat="1" applyFont="1" applyFill="1" applyBorder="1" applyAlignment="1" applyProtection="1">
      <alignment horizontal="center" vertical="center" wrapText="1"/>
    </xf>
    <xf numFmtId="49" fontId="49" fillId="0" borderId="124" xfId="76" applyNumberFormat="1" applyFont="1" applyFill="1" applyBorder="1" applyAlignment="1" applyProtection="1">
      <alignment horizontal="center" vertical="center"/>
    </xf>
    <xf numFmtId="49" fontId="49" fillId="0" borderId="72" xfId="76" applyNumberFormat="1" applyFont="1" applyFill="1" applyBorder="1" applyAlignment="1" applyProtection="1">
      <alignment horizontal="center" vertical="center"/>
    </xf>
    <xf numFmtId="49" fontId="49" fillId="0" borderId="106" xfId="76" applyNumberFormat="1" applyFont="1" applyFill="1" applyBorder="1" applyAlignment="1" applyProtection="1">
      <alignment horizontal="center" vertical="center" wrapText="1"/>
    </xf>
    <xf numFmtId="49" fontId="49" fillId="0" borderId="67" xfId="76" applyNumberFormat="1" applyFont="1" applyFill="1" applyBorder="1" applyAlignment="1" applyProtection="1">
      <alignment horizontal="center" vertical="center" wrapText="1"/>
    </xf>
    <xf numFmtId="49" fontId="49" fillId="0" borderId="68" xfId="76" applyNumberFormat="1" applyFont="1" applyFill="1" applyBorder="1" applyAlignment="1" applyProtection="1">
      <alignment horizontal="center" vertical="center" wrapText="1"/>
    </xf>
    <xf numFmtId="49" fontId="49" fillId="0" borderId="17" xfId="76" applyNumberFormat="1" applyFont="1" applyFill="1" applyBorder="1" applyAlignment="1" applyProtection="1">
      <alignment horizontal="center" vertical="center" wrapText="1"/>
    </xf>
    <xf numFmtId="49" fontId="27" fillId="0" borderId="27" xfId="0" applyNumberFormat="1" applyFont="1" applyFill="1" applyBorder="1" applyAlignment="1" applyProtection="1">
      <alignment horizontal="center" vertical="center"/>
      <protection hidden="1"/>
    </xf>
    <xf numFmtId="49" fontId="27" fillId="0" borderId="28" xfId="0" applyNumberFormat="1" applyFont="1" applyFill="1" applyBorder="1" applyAlignment="1" applyProtection="1">
      <alignment horizontal="center" vertical="center"/>
      <protection hidden="1"/>
    </xf>
    <xf numFmtId="169" fontId="27" fillId="25" borderId="27" xfId="0" applyNumberFormat="1" applyFont="1" applyFill="1" applyBorder="1" applyAlignment="1" applyProtection="1">
      <alignment horizontal="center" vertical="center"/>
      <protection hidden="1"/>
    </xf>
    <xf numFmtId="169" fontId="27" fillId="25" borderId="28" xfId="0" applyNumberFormat="1" applyFont="1" applyFill="1" applyBorder="1" applyAlignment="1" applyProtection="1">
      <alignment horizontal="center" vertical="center"/>
      <protection hidden="1"/>
    </xf>
    <xf numFmtId="49" fontId="49" fillId="0" borderId="106" xfId="0" applyNumberFormat="1" applyFont="1" applyFill="1" applyBorder="1" applyAlignment="1">
      <alignment vertical="center"/>
    </xf>
    <xf numFmtId="49" fontId="49" fillId="0" borderId="67" xfId="0" applyNumberFormat="1" applyFont="1" applyFill="1" applyBorder="1" applyAlignment="1">
      <alignment vertical="center"/>
    </xf>
    <xf numFmtId="49" fontId="49" fillId="0" borderId="68" xfId="0" applyNumberFormat="1" applyFont="1" applyFill="1" applyBorder="1" applyAlignment="1">
      <alignment vertical="center"/>
    </xf>
    <xf numFmtId="49" fontId="51" fillId="0" borderId="75" xfId="0" applyNumberFormat="1" applyFont="1" applyFill="1" applyBorder="1" applyAlignment="1">
      <alignment vertical="center"/>
    </xf>
    <xf numFmtId="49" fontId="51" fillId="0" borderId="17" xfId="0" applyNumberFormat="1" applyFont="1" applyFill="1" applyBorder="1" applyAlignment="1">
      <alignment vertical="center"/>
    </xf>
    <xf numFmtId="49" fontId="51" fillId="0" borderId="18" xfId="0" applyNumberFormat="1" applyFont="1" applyFill="1" applyBorder="1" applyAlignment="1">
      <alignment vertical="center"/>
    </xf>
    <xf numFmtId="49" fontId="49" fillId="0" borderId="122" xfId="0" applyNumberFormat="1" applyFont="1" applyFill="1" applyBorder="1" applyAlignment="1">
      <alignment horizontal="center" vertical="center" wrapText="1"/>
    </xf>
    <xf numFmtId="49" fontId="49" fillId="0" borderId="110" xfId="0" applyNumberFormat="1" applyFont="1" applyFill="1" applyBorder="1" applyAlignment="1">
      <alignment horizontal="center" vertical="center" wrapText="1"/>
    </xf>
    <xf numFmtId="49" fontId="16" fillId="0" borderId="137" xfId="0" applyNumberFormat="1" applyFont="1" applyFill="1" applyBorder="1" applyAlignment="1" applyProtection="1">
      <alignment horizontal="left" vertical="center" indent="1"/>
      <protection locked="0"/>
    </xf>
    <xf numFmtId="49" fontId="16" fillId="0" borderId="135" xfId="0" applyNumberFormat="1" applyFont="1" applyFill="1" applyBorder="1" applyAlignment="1" applyProtection="1">
      <alignment horizontal="left" vertical="center" indent="1"/>
      <protection locked="0"/>
    </xf>
    <xf numFmtId="49" fontId="16" fillId="0" borderId="136" xfId="0" applyNumberFormat="1" applyFont="1" applyFill="1" applyBorder="1" applyAlignment="1" applyProtection="1">
      <alignment horizontal="left" vertical="center" indent="1"/>
      <protection locked="0"/>
    </xf>
    <xf numFmtId="49" fontId="27" fillId="0" borderId="137" xfId="0" applyNumberFormat="1" applyFont="1" applyFill="1" applyBorder="1" applyAlignment="1" applyProtection="1">
      <alignment horizontal="center" vertical="center"/>
      <protection hidden="1"/>
    </xf>
    <xf numFmtId="49" fontId="27" fillId="0" borderId="136" xfId="0" applyNumberFormat="1" applyFont="1" applyFill="1" applyBorder="1" applyAlignment="1" applyProtection="1">
      <alignment horizontal="center" vertical="center"/>
      <protection hidden="1"/>
    </xf>
    <xf numFmtId="49" fontId="49" fillId="0" borderId="106" xfId="0" applyNumberFormat="1" applyFont="1" applyFill="1" applyBorder="1" applyAlignment="1">
      <alignment vertical="top"/>
    </xf>
    <xf numFmtId="49" fontId="49" fillId="0" borderId="67" xfId="0" applyNumberFormat="1" applyFont="1" applyFill="1" applyBorder="1" applyAlignment="1">
      <alignment vertical="top"/>
    </xf>
    <xf numFmtId="0" fontId="61" fillId="0" borderId="75" xfId="0" applyNumberFormat="1" applyFont="1" applyFill="1" applyBorder="1" applyAlignment="1">
      <alignment horizontal="left" vertical="center" indent="1" shrinkToFit="1"/>
    </xf>
    <xf numFmtId="0" fontId="61" fillId="0" borderId="17" xfId="0" applyNumberFormat="1" applyFont="1" applyFill="1" applyBorder="1" applyAlignment="1">
      <alignment horizontal="left" vertical="center" indent="1" shrinkToFit="1"/>
    </xf>
    <xf numFmtId="0" fontId="61" fillId="0" borderId="18" xfId="0" applyNumberFormat="1" applyFont="1" applyFill="1" applyBorder="1" applyAlignment="1">
      <alignment horizontal="left" vertical="center" indent="1" shrinkToFit="1"/>
    </xf>
    <xf numFmtId="0" fontId="59" fillId="0" borderId="75" xfId="0" applyNumberFormat="1" applyFont="1" applyFill="1" applyBorder="1" applyAlignment="1">
      <alignment horizontal="center" vertical="center"/>
    </xf>
    <xf numFmtId="0" fontId="59" fillId="0" borderId="18" xfId="0" applyNumberFormat="1" applyFont="1" applyFill="1" applyBorder="1" applyAlignment="1">
      <alignment horizontal="center" vertical="center"/>
    </xf>
    <xf numFmtId="49" fontId="104" fillId="0" borderId="27" xfId="0" applyNumberFormat="1" applyFont="1" applyFill="1" applyBorder="1" applyAlignment="1" applyProtection="1">
      <alignment horizontal="left" vertical="center" indent="1"/>
      <protection locked="0"/>
    </xf>
    <xf numFmtId="49" fontId="104" fillId="0" borderId="30" xfId="0" applyNumberFormat="1" applyFont="1" applyFill="1" applyBorder="1" applyAlignment="1" applyProtection="1">
      <alignment horizontal="left" vertical="center" indent="1"/>
      <protection locked="0"/>
    </xf>
    <xf numFmtId="49" fontId="104" fillId="0" borderId="28" xfId="0" applyNumberFormat="1" applyFont="1" applyFill="1" applyBorder="1" applyAlignment="1" applyProtection="1">
      <alignment horizontal="left" vertical="center" indent="1"/>
      <protection locked="0"/>
    </xf>
    <xf numFmtId="49" fontId="15" fillId="0" borderId="27" xfId="0" applyNumberFormat="1" applyFont="1" applyFill="1" applyBorder="1" applyAlignment="1" applyProtection="1">
      <alignment horizontal="left" vertical="center" indent="1"/>
      <protection locked="0"/>
    </xf>
    <xf numFmtId="49" fontId="15" fillId="0" borderId="30" xfId="0" applyNumberFormat="1" applyFont="1" applyFill="1" applyBorder="1" applyAlignment="1" applyProtection="1">
      <alignment horizontal="left" vertical="center" indent="1"/>
      <protection locked="0"/>
    </xf>
    <xf numFmtId="49" fontId="15" fillId="0" borderId="28" xfId="0" applyNumberFormat="1" applyFont="1" applyFill="1" applyBorder="1" applyAlignment="1" applyProtection="1">
      <alignment horizontal="left" vertical="center" indent="1"/>
      <protection locked="0"/>
    </xf>
    <xf numFmtId="49" fontId="16" fillId="0" borderId="27" xfId="0" applyNumberFormat="1" applyFont="1" applyFill="1" applyBorder="1" applyAlignment="1" applyProtection="1">
      <alignment horizontal="left" vertical="center" indent="1"/>
      <protection locked="0"/>
    </xf>
    <xf numFmtId="49" fontId="16" fillId="0" borderId="30" xfId="0" applyNumberFormat="1" applyFont="1" applyFill="1" applyBorder="1" applyAlignment="1" applyProtection="1">
      <alignment horizontal="left" vertical="center" indent="1"/>
      <protection locked="0"/>
    </xf>
    <xf numFmtId="49" fontId="16" fillId="0" borderId="28" xfId="0" applyNumberFormat="1" applyFont="1" applyFill="1" applyBorder="1" applyAlignment="1" applyProtection="1">
      <alignment horizontal="left" vertical="center" indent="1"/>
      <protection locked="0"/>
    </xf>
    <xf numFmtId="49" fontId="60" fillId="0" borderId="0" xfId="0" applyNumberFormat="1" applyFont="1" applyFill="1" applyAlignment="1">
      <alignment horizontal="center"/>
    </xf>
    <xf numFmtId="0" fontId="15" fillId="0" borderId="0" xfId="0" applyNumberFormat="1" applyFont="1" applyFill="1" applyAlignment="1">
      <alignment shrinkToFit="1"/>
    </xf>
    <xf numFmtId="49" fontId="61" fillId="0" borderId="11" xfId="0" applyNumberFormat="1" applyFont="1" applyFill="1" applyBorder="1" applyAlignment="1">
      <alignment horizontal="left" vertical="center" indent="1"/>
    </xf>
    <xf numFmtId="0" fontId="61" fillId="0" borderId="17" xfId="0" applyNumberFormat="1" applyFont="1" applyFill="1" applyBorder="1" applyAlignment="1">
      <alignment horizontal="left" vertical="center" indent="1"/>
    </xf>
    <xf numFmtId="0" fontId="61" fillId="0" borderId="18" xfId="0" applyNumberFormat="1" applyFont="1" applyFill="1" applyBorder="1" applyAlignment="1">
      <alignment horizontal="left" vertical="center" indent="1"/>
    </xf>
    <xf numFmtId="180" fontId="19" fillId="0" borderId="10" xfId="0" applyNumberFormat="1" applyFont="1" applyFill="1" applyBorder="1" applyAlignment="1">
      <alignment horizontal="center" vertical="center"/>
    </xf>
    <xf numFmtId="180" fontId="19" fillId="0" borderId="12" xfId="0" applyNumberFormat="1" applyFont="1" applyFill="1" applyBorder="1" applyAlignment="1">
      <alignment horizontal="center" vertical="center"/>
    </xf>
    <xf numFmtId="49" fontId="52" fillId="25" borderId="0" xfId="0" applyNumberFormat="1" applyFont="1" applyFill="1" applyBorder="1" applyAlignment="1">
      <alignment horizontal="center"/>
    </xf>
    <xf numFmtId="0" fontId="52" fillId="25" borderId="0" xfId="0" applyNumberFormat="1" applyFont="1" applyFill="1" applyBorder="1" applyAlignment="1">
      <alignment horizontal="center"/>
    </xf>
    <xf numFmtId="49" fontId="8" fillId="0" borderId="27" xfId="0" applyNumberFormat="1" applyFont="1" applyFill="1" applyBorder="1" applyAlignment="1" applyProtection="1">
      <alignment horizontal="left" vertical="center" indent="1"/>
      <protection locked="0"/>
    </xf>
    <xf numFmtId="0" fontId="15" fillId="25" borderId="0" xfId="0" applyFont="1" applyFill="1" applyBorder="1" applyAlignment="1">
      <alignment horizontal="center"/>
    </xf>
    <xf numFmtId="0" fontId="28" fillId="0" borderId="12" xfId="0" applyFont="1" applyFill="1" applyBorder="1" applyAlignment="1">
      <alignment horizontal="center" vertical="center" textRotation="90"/>
    </xf>
    <xf numFmtId="49" fontId="188" fillId="0" borderId="125" xfId="75" applyNumberFormat="1" applyFont="1" applyFill="1" applyBorder="1" applyAlignment="1" applyProtection="1">
      <alignment horizontal="center"/>
    </xf>
    <xf numFmtId="49" fontId="188" fillId="0" borderId="126" xfId="75" applyNumberFormat="1" applyFont="1" applyFill="1" applyBorder="1" applyAlignment="1" applyProtection="1">
      <alignment horizontal="center"/>
    </xf>
    <xf numFmtId="49" fontId="188" fillId="0" borderId="127" xfId="75" applyNumberFormat="1" applyFont="1" applyFill="1" applyBorder="1" applyAlignment="1" applyProtection="1">
      <alignment horizontal="center"/>
    </xf>
    <xf numFmtId="49" fontId="188" fillId="0" borderId="55" xfId="75" applyNumberFormat="1" applyFont="1" applyFill="1" applyBorder="1" applyAlignment="1" applyProtection="1">
      <alignment horizontal="center"/>
    </xf>
    <xf numFmtId="49" fontId="188" fillId="0" borderId="0" xfId="75" applyNumberFormat="1" applyFont="1" applyFill="1" applyBorder="1" applyAlignment="1" applyProtection="1">
      <alignment horizontal="center"/>
    </xf>
    <xf numFmtId="49" fontId="188" fillId="0" borderId="56" xfId="75" applyNumberFormat="1" applyFont="1" applyFill="1" applyBorder="1" applyAlignment="1" applyProtection="1">
      <alignment horizontal="center"/>
    </xf>
    <xf numFmtId="0" fontId="25" fillId="38" borderId="34" xfId="0" applyNumberFormat="1" applyFont="1" applyFill="1" applyBorder="1" applyAlignment="1">
      <alignment horizontal="center" vertical="center" shrinkToFit="1"/>
    </xf>
    <xf numFmtId="0" fontId="25" fillId="38" borderId="33" xfId="0" applyNumberFormat="1" applyFont="1" applyFill="1" applyBorder="1" applyAlignment="1">
      <alignment horizontal="center" vertical="center" shrinkToFit="1"/>
    </xf>
    <xf numFmtId="49" fontId="25" fillId="38" borderId="34" xfId="0" applyNumberFormat="1" applyFont="1" applyFill="1" applyBorder="1" applyAlignment="1">
      <alignment horizontal="center" vertical="center"/>
    </xf>
    <xf numFmtId="0" fontId="25" fillId="38" borderId="33" xfId="0" applyNumberFormat="1" applyFont="1" applyFill="1" applyBorder="1" applyAlignment="1">
      <alignment horizontal="center" vertical="center"/>
    </xf>
    <xf numFmtId="49" fontId="57" fillId="39" borderId="9" xfId="0" applyNumberFormat="1" applyFont="1" applyFill="1" applyBorder="1" applyAlignment="1">
      <alignment horizontal="center" vertical="center"/>
    </xf>
    <xf numFmtId="49" fontId="57" fillId="39" borderId="14" xfId="0" applyNumberFormat="1" applyFont="1" applyFill="1" applyBorder="1" applyAlignment="1">
      <alignment horizontal="center" vertical="center"/>
    </xf>
    <xf numFmtId="0" fontId="62" fillId="38" borderId="0" xfId="0" applyFont="1" applyFill="1" applyBorder="1" applyAlignment="1">
      <alignment horizontal="center" vertical="center" wrapText="1"/>
    </xf>
    <xf numFmtId="0" fontId="62" fillId="38" borderId="0" xfId="0" applyFont="1" applyFill="1" applyBorder="1" applyAlignment="1">
      <alignment horizontal="center" vertical="center"/>
    </xf>
    <xf numFmtId="0" fontId="57" fillId="39" borderId="34" xfId="0" applyFont="1" applyFill="1" applyBorder="1" applyAlignment="1">
      <alignment horizontal="center" vertical="center"/>
    </xf>
    <xf numFmtId="0" fontId="57" fillId="39" borderId="33" xfId="0" applyFont="1" applyFill="1" applyBorder="1" applyAlignment="1">
      <alignment horizontal="center" vertical="center"/>
    </xf>
    <xf numFmtId="0" fontId="25" fillId="38" borderId="34" xfId="0" applyFont="1" applyFill="1" applyBorder="1" applyAlignment="1">
      <alignment horizontal="center" vertical="center"/>
    </xf>
    <xf numFmtId="0" fontId="25" fillId="38" borderId="33" xfId="0" applyFont="1" applyFill="1" applyBorder="1" applyAlignment="1">
      <alignment horizontal="center" vertical="center"/>
    </xf>
    <xf numFmtId="0" fontId="57" fillId="39" borderId="34" xfId="0" applyNumberFormat="1" applyFont="1" applyFill="1" applyBorder="1" applyAlignment="1">
      <alignment horizontal="center" vertical="center"/>
    </xf>
    <xf numFmtId="0" fontId="57" fillId="39" borderId="33" xfId="0" applyNumberFormat="1" applyFont="1" applyFill="1" applyBorder="1" applyAlignment="1">
      <alignment horizontal="center" vertical="center"/>
    </xf>
    <xf numFmtId="0" fontId="25" fillId="38" borderId="34" xfId="0" applyNumberFormat="1" applyFont="1" applyFill="1" applyBorder="1" applyAlignment="1">
      <alignment horizontal="center" vertical="center"/>
    </xf>
    <xf numFmtId="14" fontId="25" fillId="25" borderId="34" xfId="0" applyNumberFormat="1" applyFont="1" applyFill="1" applyBorder="1" applyAlignment="1">
      <alignment horizontal="center" vertical="center" shrinkToFit="1"/>
    </xf>
    <xf numFmtId="14" fontId="25" fillId="25" borderId="33" xfId="0" applyNumberFormat="1" applyFont="1" applyFill="1" applyBorder="1" applyAlignment="1">
      <alignment horizontal="center" vertical="center" shrinkToFit="1"/>
    </xf>
    <xf numFmtId="0" fontId="25" fillId="25" borderId="34" xfId="0" applyNumberFormat="1" applyFont="1" applyFill="1" applyBorder="1" applyAlignment="1">
      <alignment horizontal="center" vertical="center"/>
    </xf>
    <xf numFmtId="0" fontId="25" fillId="25" borderId="33" xfId="0" applyNumberFormat="1" applyFont="1" applyFill="1" applyBorder="1" applyAlignment="1">
      <alignment horizontal="center" vertical="center"/>
    </xf>
    <xf numFmtId="49" fontId="57" fillId="26" borderId="9" xfId="0" applyNumberFormat="1" applyFont="1" applyFill="1" applyBorder="1" applyAlignment="1">
      <alignment horizontal="center" vertical="center"/>
    </xf>
    <xf numFmtId="49" fontId="57" fillId="26" borderId="14" xfId="0" applyNumberFormat="1" applyFont="1" applyFill="1" applyBorder="1" applyAlignment="1">
      <alignment horizontal="center" vertical="center"/>
    </xf>
    <xf numFmtId="0" fontId="62" fillId="25" borderId="0" xfId="0" applyFont="1" applyFill="1" applyBorder="1" applyAlignment="1">
      <alignment horizontal="center" vertical="center" wrapText="1"/>
    </xf>
    <xf numFmtId="0" fontId="62" fillId="25" borderId="0" xfId="0" applyFont="1" applyFill="1" applyBorder="1" applyAlignment="1">
      <alignment horizontal="center" vertical="center"/>
    </xf>
    <xf numFmtId="0" fontId="57" fillId="27" borderId="34" xfId="0" applyFont="1" applyFill="1" applyBorder="1" applyAlignment="1">
      <alignment horizontal="center" vertical="center"/>
    </xf>
    <xf numFmtId="0" fontId="57" fillId="27" borderId="33" xfId="0" applyFont="1" applyFill="1" applyBorder="1" applyAlignment="1">
      <alignment horizontal="center" vertical="center"/>
    </xf>
    <xf numFmtId="0" fontId="25" fillId="25" borderId="34" xfId="0" applyFont="1" applyFill="1" applyBorder="1" applyAlignment="1">
      <alignment horizontal="center" vertical="center"/>
    </xf>
    <xf numFmtId="0" fontId="25" fillId="25" borderId="33" xfId="0" applyFont="1" applyFill="1" applyBorder="1" applyAlignment="1">
      <alignment horizontal="center" vertical="center"/>
    </xf>
    <xf numFmtId="0" fontId="92" fillId="25" borderId="34" xfId="0" applyFont="1" applyFill="1" applyBorder="1" applyAlignment="1">
      <alignment horizontal="center"/>
    </xf>
    <xf numFmtId="0" fontId="92" fillId="25" borderId="15" xfId="0" applyFont="1" applyFill="1" applyBorder="1" applyAlignment="1">
      <alignment horizontal="center"/>
    </xf>
    <xf numFmtId="0" fontId="92" fillId="25" borderId="33" xfId="0" applyFont="1" applyFill="1" applyBorder="1" applyAlignment="1">
      <alignment horizontal="center"/>
    </xf>
    <xf numFmtId="49" fontId="60" fillId="0" borderId="0" xfId="0" applyNumberFormat="1" applyFont="1" applyFill="1" applyBorder="1" applyAlignment="1">
      <alignment horizontal="center"/>
    </xf>
    <xf numFmtId="0" fontId="28" fillId="0" borderId="76" xfId="0" applyNumberFormat="1" applyFont="1" applyFill="1" applyBorder="1" applyAlignment="1">
      <alignment horizontal="center" vertical="center"/>
    </xf>
    <xf numFmtId="0" fontId="28" fillId="0" borderId="78" xfId="0" applyNumberFormat="1" applyFont="1" applyFill="1" applyBorder="1" applyAlignment="1">
      <alignment horizontal="center" vertical="center"/>
    </xf>
    <xf numFmtId="0" fontId="104" fillId="0" borderId="74" xfId="0" applyFont="1" applyFill="1" applyBorder="1" applyAlignment="1">
      <alignment horizontal="center" vertical="center" wrapText="1"/>
    </xf>
    <xf numFmtId="0" fontId="104" fillId="0" borderId="72" xfId="0" applyFont="1" applyFill="1" applyBorder="1" applyAlignment="1">
      <alignment horizontal="center" vertical="center" wrapText="1"/>
    </xf>
    <xf numFmtId="49" fontId="108" fillId="0" borderId="77" xfId="0" applyNumberFormat="1" applyFont="1" applyFill="1" applyBorder="1" applyAlignment="1">
      <alignment horizontal="center" vertical="center"/>
    </xf>
    <xf numFmtId="0" fontId="108" fillId="0" borderId="78" xfId="0" applyNumberFormat="1" applyFont="1" applyFill="1" applyBorder="1" applyAlignment="1">
      <alignment horizontal="center" vertical="center"/>
    </xf>
    <xf numFmtId="0" fontId="133" fillId="0" borderId="76" xfId="0" applyNumberFormat="1" applyFont="1" applyFill="1" applyBorder="1" applyAlignment="1">
      <alignment horizontal="left" vertical="center"/>
    </xf>
    <xf numFmtId="0" fontId="133" fillId="0" borderId="77" xfId="0" applyNumberFormat="1" applyFont="1" applyFill="1" applyBorder="1" applyAlignment="1">
      <alignment horizontal="left" vertical="center"/>
    </xf>
    <xf numFmtId="0" fontId="108" fillId="0" borderId="77" xfId="0" applyNumberFormat="1" applyFont="1" applyFill="1" applyBorder="1" applyAlignment="1">
      <alignment horizontal="center" vertical="center"/>
    </xf>
    <xf numFmtId="0" fontId="133" fillId="0" borderId="76" xfId="0" applyFont="1" applyFill="1" applyBorder="1" applyAlignment="1">
      <alignment vertical="center"/>
    </xf>
    <xf numFmtId="0" fontId="133" fillId="0" borderId="77" xfId="0" applyFont="1" applyFill="1" applyBorder="1" applyAlignment="1">
      <alignment vertical="center"/>
    </xf>
    <xf numFmtId="0" fontId="108" fillId="0" borderId="77" xfId="0" applyFont="1" applyFill="1" applyBorder="1" applyAlignment="1">
      <alignment horizontal="center" vertical="center"/>
    </xf>
    <xf numFmtId="0" fontId="108" fillId="0" borderId="78" xfId="0" applyFont="1" applyFill="1" applyBorder="1" applyAlignment="1">
      <alignment horizontal="center" vertical="center"/>
    </xf>
    <xf numFmtId="175" fontId="92" fillId="25" borderId="34" xfId="0" applyNumberFormat="1" applyFont="1" applyFill="1" applyBorder="1" applyAlignment="1">
      <alignment horizontal="center"/>
    </xf>
    <xf numFmtId="175" fontId="92" fillId="25" borderId="33" xfId="0" applyNumberFormat="1" applyFont="1" applyFill="1" applyBorder="1" applyAlignment="1">
      <alignment horizontal="center"/>
    </xf>
    <xf numFmtId="0" fontId="49" fillId="0" borderId="0" xfId="0" applyFont="1" applyFill="1" applyBorder="1" applyAlignment="1">
      <alignment horizontal="center"/>
    </xf>
    <xf numFmtId="0" fontId="49" fillId="0" borderId="12" xfId="0" applyFont="1" applyFill="1" applyBorder="1" applyAlignment="1">
      <alignment horizontal="center"/>
    </xf>
    <xf numFmtId="49" fontId="110" fillId="0" borderId="0" xfId="0" applyNumberFormat="1" applyFont="1" applyFill="1" applyBorder="1" applyAlignment="1">
      <alignment horizontal="center"/>
    </xf>
    <xf numFmtId="49" fontId="134" fillId="25" borderId="17" xfId="0" applyNumberFormat="1" applyFont="1" applyFill="1" applyBorder="1" applyAlignment="1">
      <alignment horizontal="center" vertical="center"/>
    </xf>
    <xf numFmtId="0" fontId="134" fillId="25" borderId="17" xfId="0" applyNumberFormat="1" applyFont="1" applyFill="1" applyBorder="1" applyAlignment="1">
      <alignment horizontal="center" vertical="center"/>
    </xf>
    <xf numFmtId="49" fontId="64" fillId="25" borderId="15" xfId="0" applyNumberFormat="1" applyFont="1" applyFill="1" applyBorder="1" applyAlignment="1">
      <alignment horizontal="center"/>
    </xf>
    <xf numFmtId="49" fontId="27" fillId="25" borderId="17" xfId="0" applyNumberFormat="1" applyFont="1" applyFill="1" applyBorder="1" applyAlignment="1">
      <alignment horizontal="center"/>
    </xf>
    <xf numFmtId="49" fontId="49" fillId="25" borderId="34" xfId="0" applyNumberFormat="1" applyFont="1" applyFill="1" applyBorder="1" applyAlignment="1">
      <alignment horizontal="center" vertical="center" wrapText="1"/>
    </xf>
    <xf numFmtId="49" fontId="49" fillId="25" borderId="15" xfId="0" applyNumberFormat="1" applyFont="1" applyFill="1" applyBorder="1" applyAlignment="1">
      <alignment horizontal="center" vertical="center" wrapText="1"/>
    </xf>
    <xf numFmtId="49" fontId="49" fillId="25" borderId="33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Alignment="1">
      <alignment vertical="top" wrapText="1"/>
    </xf>
    <xf numFmtId="49" fontId="27" fillId="25" borderId="15" xfId="0" applyNumberFormat="1" applyFont="1" applyFill="1" applyBorder="1" applyAlignment="1">
      <alignment horizontal="center"/>
    </xf>
    <xf numFmtId="0" fontId="28" fillId="0" borderId="76" xfId="0" applyNumberFormat="1" applyFont="1" applyFill="1" applyBorder="1" applyAlignment="1">
      <alignment horizontal="left" vertical="center"/>
    </xf>
    <xf numFmtId="0" fontId="28" fillId="0" borderId="78" xfId="0" applyNumberFormat="1" applyFont="1" applyFill="1" applyBorder="1" applyAlignment="1">
      <alignment horizontal="left" vertical="center"/>
    </xf>
    <xf numFmtId="0" fontId="19" fillId="0" borderId="34" xfId="0" applyNumberFormat="1" applyFont="1" applyFill="1" applyBorder="1" applyAlignment="1">
      <alignment horizontal="center" vertical="center"/>
    </xf>
    <xf numFmtId="0" fontId="19" fillId="0" borderId="15" xfId="0" applyNumberFormat="1" applyFont="1" applyFill="1" applyBorder="1" applyAlignment="1">
      <alignment horizontal="center" vertical="center"/>
    </xf>
    <xf numFmtId="0" fontId="19" fillId="0" borderId="33" xfId="0" applyNumberFormat="1" applyFont="1" applyFill="1" applyBorder="1" applyAlignment="1">
      <alignment horizontal="center" vertical="center"/>
    </xf>
    <xf numFmtId="0" fontId="18" fillId="0" borderId="34" xfId="0" applyNumberFormat="1" applyFont="1" applyFill="1" applyBorder="1" applyAlignment="1">
      <alignment horizontal="center" vertical="center"/>
    </xf>
    <xf numFmtId="0" fontId="18" fillId="0" borderId="15" xfId="0" applyNumberFormat="1" applyFont="1" applyFill="1" applyBorder="1" applyAlignment="1">
      <alignment horizontal="center" vertical="center"/>
    </xf>
    <xf numFmtId="0" fontId="18" fillId="0" borderId="33" xfId="0" applyNumberFormat="1" applyFont="1" applyFill="1" applyBorder="1" applyAlignment="1">
      <alignment horizontal="center" vertical="center"/>
    </xf>
    <xf numFmtId="49" fontId="106" fillId="25" borderId="34" xfId="0" applyNumberFormat="1" applyFont="1" applyFill="1" applyBorder="1" applyAlignment="1">
      <alignment horizontal="center" vertical="center" wrapText="1"/>
    </xf>
    <xf numFmtId="49" fontId="106" fillId="25" borderId="33" xfId="0" applyNumberFormat="1" applyFont="1" applyFill="1" applyBorder="1" applyAlignment="1">
      <alignment horizontal="center" vertical="center" wrapText="1"/>
    </xf>
    <xf numFmtId="0" fontId="128" fillId="0" borderId="66" xfId="81" applyFont="1" applyBorder="1" applyAlignment="1">
      <alignment horizontal="center" vertical="center"/>
    </xf>
    <xf numFmtId="0" fontId="128" fillId="0" borderId="67" xfId="81" applyFont="1" applyBorder="1" applyAlignment="1">
      <alignment horizontal="center" vertical="center"/>
    </xf>
    <xf numFmtId="0" fontId="128" fillId="0" borderId="68" xfId="81" applyFont="1" applyBorder="1" applyAlignment="1">
      <alignment horizontal="center" vertical="center"/>
    </xf>
    <xf numFmtId="0" fontId="128" fillId="0" borderId="10" xfId="81" applyFont="1" applyBorder="1" applyAlignment="1">
      <alignment horizontal="center" vertical="center"/>
    </xf>
    <xf numFmtId="0" fontId="128" fillId="0" borderId="0" xfId="81" applyFont="1" applyBorder="1" applyAlignment="1">
      <alignment horizontal="center" vertical="center"/>
    </xf>
    <xf numFmtId="0" fontId="128" fillId="0" borderId="12" xfId="81" applyFont="1" applyBorder="1" applyAlignment="1">
      <alignment horizontal="center" vertical="center"/>
    </xf>
    <xf numFmtId="0" fontId="128" fillId="0" borderId="69" xfId="81" applyFont="1" applyBorder="1" applyAlignment="1">
      <alignment horizontal="center"/>
    </xf>
    <xf numFmtId="0" fontId="128" fillId="0" borderId="58" xfId="81" applyFont="1" applyBorder="1" applyAlignment="1">
      <alignment horizontal="center"/>
    </xf>
    <xf numFmtId="0" fontId="128" fillId="0" borderId="70" xfId="81" applyFont="1" applyBorder="1" applyAlignment="1">
      <alignment horizontal="center"/>
    </xf>
    <xf numFmtId="49" fontId="4" fillId="0" borderId="0" xfId="81" applyNumberFormat="1" applyFont="1" applyAlignment="1">
      <alignment horizontal="center"/>
    </xf>
    <xf numFmtId="0" fontId="5" fillId="0" borderId="0" xfId="81" applyAlignment="1">
      <alignment horizontal="center"/>
    </xf>
    <xf numFmtId="0" fontId="4" fillId="0" borderId="0" xfId="81" applyFont="1" applyAlignment="1">
      <alignment horizontal="center"/>
    </xf>
  </cellXfs>
  <cellStyles count="11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91" xr:uid="{00000000-0005-0000-0000-00001A000000}"/>
    <cellStyle name="Calculation 3" xfId="94" xr:uid="{00000000-0005-0000-0000-00001B000000}"/>
    <cellStyle name="Calculation 4" xfId="98" xr:uid="{00000000-0005-0000-0000-00001C000000}"/>
    <cellStyle name="Check Cell" xfId="27" builtinId="23" customBuiltin="1"/>
    <cellStyle name="Comma 2" xfId="77" xr:uid="{00000000-0005-0000-0000-00001E000000}"/>
    <cellStyle name="Comma 2 2" xfId="102" xr:uid="{00000000-0005-0000-0000-00001F000000}"/>
    <cellStyle name="Comma0" xfId="28" xr:uid="{00000000-0005-0000-0000-000021000000}"/>
    <cellStyle name="Currency [DM]" xfId="29" xr:uid="{00000000-0005-0000-0000-000022000000}"/>
    <cellStyle name="Currency 2" xfId="68" xr:uid="{00000000-0005-0000-0000-000023000000}"/>
    <cellStyle name="Currency 2 2" xfId="78" xr:uid="{00000000-0005-0000-0000-000024000000}"/>
    <cellStyle name="Currency 2 2 2" xfId="103" xr:uid="{00000000-0005-0000-0000-000025000000}"/>
    <cellStyle name="Currency 2 3" xfId="99" xr:uid="{00000000-0005-0000-0000-000026000000}"/>
    <cellStyle name="Currency 3" xfId="70" xr:uid="{00000000-0005-0000-0000-000027000000}"/>
    <cellStyle name="Currency 3 2" xfId="79" xr:uid="{00000000-0005-0000-0000-000028000000}"/>
    <cellStyle name="Currency 3 2 2" xfId="104" xr:uid="{00000000-0005-0000-0000-000029000000}"/>
    <cellStyle name="Currency 3 3" xfId="100" xr:uid="{00000000-0005-0000-0000-00002A000000}"/>
    <cellStyle name="Currency_ClearMain morocco" xfId="30" xr:uid="{00000000-0005-0000-0000-00002B000000}"/>
    <cellStyle name="Currency0" xfId="31" xr:uid="{00000000-0005-0000-0000-00002C000000}"/>
    <cellStyle name="Date" xfId="32" xr:uid="{00000000-0005-0000-0000-00002D000000}"/>
    <cellStyle name="Dezimal [0]_Books" xfId="33" xr:uid="{00000000-0005-0000-0000-00002E000000}"/>
    <cellStyle name="Dezimal_BLANCO" xfId="34" xr:uid="{00000000-0005-0000-0000-00002F000000}"/>
    <cellStyle name="DM" xfId="35" xr:uid="{00000000-0005-0000-0000-000030000000}"/>
    <cellStyle name="Dziesiętny [0]_CASHBOX" xfId="36" xr:uid="{00000000-0005-0000-0000-000031000000}"/>
    <cellStyle name="Dziesiętny_CASHBOX" xfId="37" xr:uid="{00000000-0005-0000-0000-000032000000}"/>
    <cellStyle name="Explanatory Text" xfId="38" builtinId="53" customBuiltin="1"/>
    <cellStyle name="Fixed" xfId="39" xr:uid="{00000000-0005-0000-0000-000034000000}"/>
    <cellStyle name="Good" xfId="40" builtinId="26" customBuiltin="1"/>
    <cellStyle name="Heading 1" xfId="41" builtinId="16" customBuiltin="1"/>
    <cellStyle name="Heading 2" xfId="42" builtinId="17" customBuiltin="1"/>
    <cellStyle name="Heading 3" xfId="43" builtinId="18" customBuiltin="1"/>
    <cellStyle name="Heading 3 2" xfId="93" xr:uid="{00000000-0005-0000-0000-000039000000}"/>
    <cellStyle name="Heading 3 3" xfId="92" xr:uid="{00000000-0005-0000-0000-00003A000000}"/>
    <cellStyle name="Heading 3 4" xfId="90" xr:uid="{00000000-0005-0000-0000-00003B000000}"/>
    <cellStyle name="Heading 4" xfId="44" builtinId="19" customBuiltin="1"/>
    <cellStyle name="Heading1" xfId="45" xr:uid="{00000000-0005-0000-0000-00003D000000}"/>
    <cellStyle name="Heading2" xfId="46" xr:uid="{00000000-0005-0000-0000-00003E000000}"/>
    <cellStyle name="Hyperlink" xfId="47" builtinId="8"/>
    <cellStyle name="Input" xfId="48" builtinId="20" customBuiltin="1"/>
    <cellStyle name="Input 2" xfId="95" xr:uid="{00000000-0005-0000-0000-000041000000}"/>
    <cellStyle name="Input 3" xfId="87" xr:uid="{00000000-0005-0000-0000-000042000000}"/>
    <cellStyle name="Input 4" xfId="89" xr:uid="{00000000-0005-0000-0000-000043000000}"/>
    <cellStyle name="Linked Cell" xfId="49" builtinId="24" customBuiltin="1"/>
    <cellStyle name="Neutral" xfId="50" builtinId="28" customBuiltin="1"/>
    <cellStyle name="Normal" xfId="0" builtinId="0"/>
    <cellStyle name="Normal 2" xfId="69" xr:uid="{00000000-0005-0000-0000-000047000000}"/>
    <cellStyle name="Normal 2 2" xfId="76" xr:uid="{00000000-0005-0000-0000-000048000000}"/>
    <cellStyle name="Normal 2 2 2" xfId="110" xr:uid="{2280F160-2B1B-4FD3-A76E-D016A624124A}"/>
    <cellStyle name="Normal 3" xfId="71" xr:uid="{00000000-0005-0000-0000-000049000000}"/>
    <cellStyle name="Normal 4" xfId="72" xr:uid="{00000000-0005-0000-0000-00004A000000}"/>
    <cellStyle name="Normal 5" xfId="73" xr:uid="{00000000-0005-0000-0000-00004B000000}"/>
    <cellStyle name="Normal 5 2" xfId="80" xr:uid="{00000000-0005-0000-0000-00004C000000}"/>
    <cellStyle name="Normal 5 2 2" xfId="105" xr:uid="{00000000-0005-0000-0000-00004D000000}"/>
    <cellStyle name="Normal 5 3" xfId="101" xr:uid="{00000000-0005-0000-0000-00004E000000}"/>
    <cellStyle name="Normal 6" xfId="75" xr:uid="{00000000-0005-0000-0000-00004F000000}"/>
    <cellStyle name="Normal 7" xfId="81" xr:uid="{00000000-0005-0000-0000-000050000000}"/>
    <cellStyle name="Normal 7 2" xfId="106" xr:uid="{00000000-0005-0000-0000-000051000000}"/>
    <cellStyle name="Normal 8" xfId="82" xr:uid="{00000000-0005-0000-0000-000052000000}"/>
    <cellStyle name="Normal 8 2" xfId="83" xr:uid="{00000000-0005-0000-0000-000053000000}"/>
    <cellStyle name="Normal 8 2 2" xfId="108" xr:uid="{00000000-0005-0000-0000-000054000000}"/>
    <cellStyle name="Normal 8 3" xfId="107" xr:uid="{00000000-0005-0000-0000-000055000000}"/>
    <cellStyle name="Normal 9" xfId="109" xr:uid="{00000000-0005-0000-0000-000056000000}"/>
    <cellStyle name="Normal_Crew List" xfId="74" xr:uid="{00000000-0005-0000-0000-000057000000}"/>
    <cellStyle name="Normal_PortsofCall(latest)" xfId="51" xr:uid="{00000000-0005-0000-0000-000058000000}"/>
    <cellStyle name="Normalny_CASHBOX" xfId="52" xr:uid="{00000000-0005-0000-0000-000059000000}"/>
    <cellStyle name="Note" xfId="53" builtinId="10" customBuiltin="1"/>
    <cellStyle name="Note 2" xfId="96" xr:uid="{00000000-0005-0000-0000-00005B000000}"/>
    <cellStyle name="Note 3" xfId="85" xr:uid="{00000000-0005-0000-0000-00005C000000}"/>
    <cellStyle name="Note 4" xfId="88" xr:uid="{00000000-0005-0000-0000-00005D000000}"/>
    <cellStyle name="Output" xfId="54" builtinId="21" customBuiltin="1"/>
    <cellStyle name="Output 2" xfId="97" xr:uid="{00000000-0005-0000-0000-00005F000000}"/>
    <cellStyle name="Output 3" xfId="84" xr:uid="{00000000-0005-0000-0000-000060000000}"/>
    <cellStyle name="Output 4" xfId="86" xr:uid="{00000000-0005-0000-0000-000061000000}"/>
    <cellStyle name="Standard_ACCOUNT" xfId="55" xr:uid="{00000000-0005-0000-0000-000062000000}"/>
    <cellStyle name="temp" xfId="56" xr:uid="{00000000-0005-0000-0000-000063000000}"/>
    <cellStyle name="Title" xfId="57" builtinId="15" customBuiltin="1"/>
    <cellStyle name="Total" xfId="58" builtinId="25" customBuiltin="1"/>
    <cellStyle name="Währung [0]_Books" xfId="59" xr:uid="{00000000-0005-0000-0000-000066000000}"/>
    <cellStyle name="Währung_BLANCO" xfId="60" xr:uid="{00000000-0005-0000-0000-000067000000}"/>
    <cellStyle name="Walutowy [0]_CASHBOX" xfId="61" xr:uid="{00000000-0005-0000-0000-000068000000}"/>
    <cellStyle name="Walutowy_CASHBOX" xfId="62" xr:uid="{00000000-0005-0000-0000-000069000000}"/>
    <cellStyle name="Warning Text" xfId="63" builtinId="11" customBuiltin="1"/>
    <cellStyle name="Ακολουθούμενος δεσμός" xfId="64" xr:uid="{00000000-0005-0000-0000-00006B000000}"/>
    <cellStyle name="Βασικό_CF1304 (version 1)" xfId="65" xr:uid="{00000000-0005-0000-0000-00006C000000}"/>
    <cellStyle name="Δεσμός" xfId="66" xr:uid="{00000000-0005-0000-0000-00006D000000}"/>
    <cellStyle name="Обычный_Crew List" xfId="67" xr:uid="{00000000-0005-0000-0000-00006E000000}"/>
  </cellStyles>
  <dxfs count="211">
    <dxf>
      <font>
        <condense val="0"/>
        <extend val="0"/>
        <color indexed="11"/>
      </font>
      <fill>
        <patternFill>
          <bgColor indexed="3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ndense val="0"/>
        <extend val="0"/>
        <color indexed="11"/>
      </font>
      <fill>
        <patternFill>
          <bgColor indexed="37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  <dxf>
      <font>
        <color rgb="FF00FF00"/>
      </font>
      <fill>
        <patternFill>
          <bgColor rgb="FF990000"/>
        </patternFill>
      </fill>
    </dxf>
  </dxfs>
  <tableStyles count="0" defaultTableStyle="TableStyleMedium9" defaultPivotStyle="PivotStyleLight16"/>
  <colors>
    <mruColors>
      <color rgb="FF00FF00"/>
      <color rgb="FF990000"/>
      <color rgb="FF33CCFF"/>
      <color rgb="FF00FFFF"/>
      <color rgb="FF00CC00"/>
      <color rgb="FFBFE2EB"/>
      <color rgb="FF800000"/>
      <color rgb="FFCC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cid:image014.png@01D7465F.F1656330" TargetMode="Externa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.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.Menu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14.png@01D7465F.F1656330" TargetMode="External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cid:image014.png@01D7465F.F1656330" TargetMode="External"/><Relationship Id="rId2" Type="http://schemas.openxmlformats.org/officeDocument/2006/relationships/image" Target="../media/image1.png"/><Relationship Id="rId1" Type="http://schemas.openxmlformats.org/officeDocument/2006/relationships/hyperlink" Target="#M.Menu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cid:image014.png@01D7465F.F1656330" TargetMode="External"/><Relationship Id="rId2" Type="http://schemas.openxmlformats.org/officeDocument/2006/relationships/image" Target="../media/image1.png"/><Relationship Id="rId1" Type="http://schemas.openxmlformats.org/officeDocument/2006/relationships/hyperlink" Target="#M.Menu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cid:image014.png@01D7465F.F1656330" TargetMode="External"/><Relationship Id="rId2" Type="http://schemas.openxmlformats.org/officeDocument/2006/relationships/image" Target="../media/image1.png"/><Relationship Id="rId1" Type="http://schemas.openxmlformats.org/officeDocument/2006/relationships/hyperlink" Target="#M.Menu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M.Menu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M.Menu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M.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133350</xdr:rowOff>
    </xdr:from>
    <xdr:to>
      <xdr:col>6</xdr:col>
      <xdr:colOff>504825</xdr:colOff>
      <xdr:row>3</xdr:row>
      <xdr:rowOff>200025</xdr:rowOff>
    </xdr:to>
    <xdr:sp macro="" textlink="">
      <xdr:nvSpPr>
        <xdr:cNvPr id="3078" name="WordArt 6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7991" y="464654"/>
          <a:ext cx="4285008" cy="49737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12700">
                <a:solidFill>
                  <a:srgbClr val="FFFF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FFFFFF"/>
                  </a:gs>
                  <a:gs pos="100000">
                    <a:srgbClr val="FFFFFF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effectLst/>
              <a:latin typeface="Steamer"/>
            </a:rPr>
            <a:t>IMO Port Doc DataBase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123825</xdr:rowOff>
    </xdr:from>
    <xdr:to>
      <xdr:col>5</xdr:col>
      <xdr:colOff>219075</xdr:colOff>
      <xdr:row>4</xdr:row>
      <xdr:rowOff>219075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238750" y="102870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>
    <xdr:from>
      <xdr:col>5</xdr:col>
      <xdr:colOff>925286</xdr:colOff>
      <xdr:row>3</xdr:row>
      <xdr:rowOff>129268</xdr:rowOff>
    </xdr:from>
    <xdr:to>
      <xdr:col>5</xdr:col>
      <xdr:colOff>1125311</xdr:colOff>
      <xdr:row>4</xdr:row>
      <xdr:rowOff>231322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150429" y="1027339"/>
          <a:ext cx="200025" cy="2789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123825</xdr:rowOff>
    </xdr:from>
    <xdr:to>
      <xdr:col>5</xdr:col>
      <xdr:colOff>219075</xdr:colOff>
      <xdr:row>4</xdr:row>
      <xdr:rowOff>219075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5238750" y="102870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>
    <xdr:from>
      <xdr:col>5</xdr:col>
      <xdr:colOff>925286</xdr:colOff>
      <xdr:row>3</xdr:row>
      <xdr:rowOff>129268</xdr:rowOff>
    </xdr:from>
    <xdr:to>
      <xdr:col>5</xdr:col>
      <xdr:colOff>1125311</xdr:colOff>
      <xdr:row>4</xdr:row>
      <xdr:rowOff>231322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6144986" y="1034143"/>
          <a:ext cx="200025" cy="2735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123825</xdr:rowOff>
    </xdr:from>
    <xdr:to>
      <xdr:col>5</xdr:col>
      <xdr:colOff>219075</xdr:colOff>
      <xdr:row>4</xdr:row>
      <xdr:rowOff>219075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238750" y="102870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>
    <xdr:from>
      <xdr:col>5</xdr:col>
      <xdr:colOff>925286</xdr:colOff>
      <xdr:row>3</xdr:row>
      <xdr:rowOff>129268</xdr:rowOff>
    </xdr:from>
    <xdr:to>
      <xdr:col>5</xdr:col>
      <xdr:colOff>1125311</xdr:colOff>
      <xdr:row>4</xdr:row>
      <xdr:rowOff>231322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6144986" y="1034143"/>
          <a:ext cx="200025" cy="2735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123825</xdr:rowOff>
    </xdr:from>
    <xdr:to>
      <xdr:col>5</xdr:col>
      <xdr:colOff>219075</xdr:colOff>
      <xdr:row>4</xdr:row>
      <xdr:rowOff>219075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5238750" y="102870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>
    <xdr:from>
      <xdr:col>5</xdr:col>
      <xdr:colOff>925286</xdr:colOff>
      <xdr:row>3</xdr:row>
      <xdr:rowOff>129268</xdr:rowOff>
    </xdr:from>
    <xdr:to>
      <xdr:col>5</xdr:col>
      <xdr:colOff>1125311</xdr:colOff>
      <xdr:row>4</xdr:row>
      <xdr:rowOff>231322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6144986" y="1034143"/>
          <a:ext cx="200025" cy="2735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142875</xdr:rowOff>
    </xdr:from>
    <xdr:to>
      <xdr:col>6</xdr:col>
      <xdr:colOff>200025</xdr:colOff>
      <xdr:row>5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152900" y="100965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952500</xdr:colOff>
      <xdr:row>3</xdr:row>
      <xdr:rowOff>129268</xdr:rowOff>
    </xdr:from>
    <xdr:to>
      <xdr:col>7</xdr:col>
      <xdr:colOff>50346</xdr:colOff>
      <xdr:row>4</xdr:row>
      <xdr:rowOff>231321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6789964" y="986518"/>
          <a:ext cx="200025" cy="2789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12</xdr:row>
          <xdr:rowOff>9525</xdr:rowOff>
        </xdr:from>
        <xdr:to>
          <xdr:col>6</xdr:col>
          <xdr:colOff>28575</xdr:colOff>
          <xdr:row>14</xdr:row>
          <xdr:rowOff>19050</xdr:rowOff>
        </xdr:to>
        <xdr:sp macro="" textlink="">
          <xdr:nvSpPr>
            <xdr:cNvPr id="520193" name="Check Box 1" hidden="1">
              <a:extLst>
                <a:ext uri="{63B3BB69-23CF-44E3-9099-C40C66FF867C}">
                  <a14:compatExt spid="_x0000_s520193"/>
                </a:ext>
                <a:ext uri="{FF2B5EF4-FFF2-40B4-BE49-F238E27FC236}">
                  <a16:creationId xmlns:a16="http://schemas.microsoft.com/office/drawing/2014/main" id="{00000000-0008-0000-0700-000001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19050</xdr:rowOff>
        </xdr:from>
        <xdr:to>
          <xdr:col>6</xdr:col>
          <xdr:colOff>400050</xdr:colOff>
          <xdr:row>14</xdr:row>
          <xdr:rowOff>28575</xdr:rowOff>
        </xdr:to>
        <xdr:sp macro="" textlink="">
          <xdr:nvSpPr>
            <xdr:cNvPr id="520194" name="Check Box 2" hidden="1">
              <a:extLst>
                <a:ext uri="{63B3BB69-23CF-44E3-9099-C40C66FF867C}">
                  <a14:compatExt spid="_x0000_s520194"/>
                </a:ext>
                <a:ext uri="{FF2B5EF4-FFF2-40B4-BE49-F238E27FC236}">
                  <a16:creationId xmlns:a16="http://schemas.microsoft.com/office/drawing/2014/main" id="{00000000-0008-0000-0700-000002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14</xdr:row>
          <xdr:rowOff>9525</xdr:rowOff>
        </xdr:from>
        <xdr:to>
          <xdr:col>2</xdr:col>
          <xdr:colOff>342900</xdr:colOff>
          <xdr:row>15</xdr:row>
          <xdr:rowOff>85725</xdr:rowOff>
        </xdr:to>
        <xdr:sp macro="" textlink="">
          <xdr:nvSpPr>
            <xdr:cNvPr id="520195" name="Check Box 3" hidden="1">
              <a:extLst>
                <a:ext uri="{63B3BB69-23CF-44E3-9099-C40C66FF867C}">
                  <a14:compatExt spid="_x0000_s520195"/>
                </a:ext>
                <a:ext uri="{FF2B5EF4-FFF2-40B4-BE49-F238E27FC236}">
                  <a16:creationId xmlns:a16="http://schemas.microsoft.com/office/drawing/2014/main" id="{00000000-0008-0000-0700-000003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14</xdr:row>
          <xdr:rowOff>9525</xdr:rowOff>
        </xdr:from>
        <xdr:to>
          <xdr:col>3</xdr:col>
          <xdr:colOff>95250</xdr:colOff>
          <xdr:row>15</xdr:row>
          <xdr:rowOff>85725</xdr:rowOff>
        </xdr:to>
        <xdr:sp macro="" textlink="">
          <xdr:nvSpPr>
            <xdr:cNvPr id="520196" name="Check Box 4" hidden="1">
              <a:extLst>
                <a:ext uri="{63B3BB69-23CF-44E3-9099-C40C66FF867C}">
                  <a14:compatExt spid="_x0000_s520196"/>
                </a:ext>
                <a:ext uri="{FF2B5EF4-FFF2-40B4-BE49-F238E27FC236}">
                  <a16:creationId xmlns:a16="http://schemas.microsoft.com/office/drawing/2014/main" id="{00000000-0008-0000-0700-000004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15</xdr:row>
          <xdr:rowOff>9525</xdr:rowOff>
        </xdr:from>
        <xdr:to>
          <xdr:col>6</xdr:col>
          <xdr:colOff>695325</xdr:colOff>
          <xdr:row>16</xdr:row>
          <xdr:rowOff>95250</xdr:rowOff>
        </xdr:to>
        <xdr:sp macro="" textlink="">
          <xdr:nvSpPr>
            <xdr:cNvPr id="520197" name="Check Box 5" hidden="1">
              <a:extLst>
                <a:ext uri="{63B3BB69-23CF-44E3-9099-C40C66FF867C}">
                  <a14:compatExt spid="_x0000_s520197"/>
                </a:ext>
                <a:ext uri="{FF2B5EF4-FFF2-40B4-BE49-F238E27FC236}">
                  <a16:creationId xmlns:a16="http://schemas.microsoft.com/office/drawing/2014/main" id="{00000000-0008-0000-0700-000005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15</xdr:row>
          <xdr:rowOff>19050</xdr:rowOff>
        </xdr:from>
        <xdr:to>
          <xdr:col>7</xdr:col>
          <xdr:colOff>371475</xdr:colOff>
          <xdr:row>16</xdr:row>
          <xdr:rowOff>104775</xdr:rowOff>
        </xdr:to>
        <xdr:sp macro="" textlink="">
          <xdr:nvSpPr>
            <xdr:cNvPr id="520198" name="Check Box 6" hidden="1">
              <a:extLst>
                <a:ext uri="{63B3BB69-23CF-44E3-9099-C40C66FF867C}">
                  <a14:compatExt spid="_x0000_s520198"/>
                </a:ext>
                <a:ext uri="{FF2B5EF4-FFF2-40B4-BE49-F238E27FC236}">
                  <a16:creationId xmlns:a16="http://schemas.microsoft.com/office/drawing/2014/main" id="{00000000-0008-0000-0700-000006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</xdr:row>
          <xdr:rowOff>85725</xdr:rowOff>
        </xdr:from>
        <xdr:to>
          <xdr:col>10</xdr:col>
          <xdr:colOff>304800</xdr:colOff>
          <xdr:row>43</xdr:row>
          <xdr:rowOff>123825</xdr:rowOff>
        </xdr:to>
        <xdr:sp macro="" textlink="">
          <xdr:nvSpPr>
            <xdr:cNvPr id="520199" name="Check Box 7" hidden="1">
              <a:extLst>
                <a:ext uri="{63B3BB69-23CF-44E3-9099-C40C66FF867C}">
                  <a14:compatExt spid="_x0000_s520199"/>
                </a:ext>
                <a:ext uri="{FF2B5EF4-FFF2-40B4-BE49-F238E27FC236}">
                  <a16:creationId xmlns:a16="http://schemas.microsoft.com/office/drawing/2014/main" id="{00000000-0008-0000-0700-000007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771525</xdr:colOff>
          <xdr:row>42</xdr:row>
          <xdr:rowOff>85725</xdr:rowOff>
        </xdr:from>
        <xdr:to>
          <xdr:col>11</xdr:col>
          <xdr:colOff>276225</xdr:colOff>
          <xdr:row>43</xdr:row>
          <xdr:rowOff>123825</xdr:rowOff>
        </xdr:to>
        <xdr:sp macro="" textlink="">
          <xdr:nvSpPr>
            <xdr:cNvPr id="520200" name="Check Box 8" hidden="1">
              <a:extLst>
                <a:ext uri="{63B3BB69-23CF-44E3-9099-C40C66FF867C}">
                  <a14:compatExt spid="_x0000_s520200"/>
                </a:ext>
                <a:ext uri="{FF2B5EF4-FFF2-40B4-BE49-F238E27FC236}">
                  <a16:creationId xmlns:a16="http://schemas.microsoft.com/office/drawing/2014/main" id="{00000000-0008-0000-0700-000008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46</xdr:row>
          <xdr:rowOff>95250</xdr:rowOff>
        </xdr:from>
        <xdr:to>
          <xdr:col>10</xdr:col>
          <xdr:colOff>314325</xdr:colOff>
          <xdr:row>48</xdr:row>
          <xdr:rowOff>57150</xdr:rowOff>
        </xdr:to>
        <xdr:sp macro="" textlink="">
          <xdr:nvSpPr>
            <xdr:cNvPr id="520201" name="Check Box 9" hidden="1">
              <a:extLst>
                <a:ext uri="{63B3BB69-23CF-44E3-9099-C40C66FF867C}">
                  <a14:compatExt spid="_x0000_s520201"/>
                </a:ext>
                <a:ext uri="{FF2B5EF4-FFF2-40B4-BE49-F238E27FC236}">
                  <a16:creationId xmlns:a16="http://schemas.microsoft.com/office/drawing/2014/main" id="{00000000-0008-0000-0700-000009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</xdr:row>
          <xdr:rowOff>85725</xdr:rowOff>
        </xdr:from>
        <xdr:to>
          <xdr:col>10</xdr:col>
          <xdr:colOff>400050</xdr:colOff>
          <xdr:row>43</xdr:row>
          <xdr:rowOff>123825</xdr:rowOff>
        </xdr:to>
        <xdr:sp macro="" textlink="">
          <xdr:nvSpPr>
            <xdr:cNvPr id="520202" name="Check Box 10" hidden="1">
              <a:extLst>
                <a:ext uri="{63B3BB69-23CF-44E3-9099-C40C66FF867C}">
                  <a14:compatExt spid="_x0000_s520202"/>
                </a:ext>
                <a:ext uri="{FF2B5EF4-FFF2-40B4-BE49-F238E27FC236}">
                  <a16:creationId xmlns:a16="http://schemas.microsoft.com/office/drawing/2014/main" id="{00000000-0008-0000-0700-00000A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49</xdr:row>
          <xdr:rowOff>95250</xdr:rowOff>
        </xdr:from>
        <xdr:to>
          <xdr:col>10</xdr:col>
          <xdr:colOff>314325</xdr:colOff>
          <xdr:row>51</xdr:row>
          <xdr:rowOff>66675</xdr:rowOff>
        </xdr:to>
        <xdr:sp macro="" textlink="">
          <xdr:nvSpPr>
            <xdr:cNvPr id="520203" name="Check Box 11" hidden="1">
              <a:extLst>
                <a:ext uri="{63B3BB69-23CF-44E3-9099-C40C66FF867C}">
                  <a14:compatExt spid="_x0000_s520203"/>
                </a:ext>
                <a:ext uri="{FF2B5EF4-FFF2-40B4-BE49-F238E27FC236}">
                  <a16:creationId xmlns:a16="http://schemas.microsoft.com/office/drawing/2014/main" id="{00000000-0008-0000-0700-00000B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51</xdr:row>
          <xdr:rowOff>104775</xdr:rowOff>
        </xdr:from>
        <xdr:to>
          <xdr:col>10</xdr:col>
          <xdr:colOff>314325</xdr:colOff>
          <xdr:row>53</xdr:row>
          <xdr:rowOff>66675</xdr:rowOff>
        </xdr:to>
        <xdr:sp macro="" textlink="">
          <xdr:nvSpPr>
            <xdr:cNvPr id="520204" name="Check Box 12" hidden="1">
              <a:extLst>
                <a:ext uri="{63B3BB69-23CF-44E3-9099-C40C66FF867C}">
                  <a14:compatExt spid="_x0000_s520204"/>
                </a:ext>
                <a:ext uri="{FF2B5EF4-FFF2-40B4-BE49-F238E27FC236}">
                  <a16:creationId xmlns:a16="http://schemas.microsoft.com/office/drawing/2014/main" id="{00000000-0008-0000-0700-00000C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53</xdr:row>
          <xdr:rowOff>95250</xdr:rowOff>
        </xdr:from>
        <xdr:to>
          <xdr:col>10</xdr:col>
          <xdr:colOff>314325</xdr:colOff>
          <xdr:row>55</xdr:row>
          <xdr:rowOff>57150</xdr:rowOff>
        </xdr:to>
        <xdr:sp macro="" textlink="">
          <xdr:nvSpPr>
            <xdr:cNvPr id="520205" name="Check Box 13" hidden="1">
              <a:extLst>
                <a:ext uri="{63B3BB69-23CF-44E3-9099-C40C66FF867C}">
                  <a14:compatExt spid="_x0000_s520205"/>
                </a:ext>
                <a:ext uri="{FF2B5EF4-FFF2-40B4-BE49-F238E27FC236}">
                  <a16:creationId xmlns:a16="http://schemas.microsoft.com/office/drawing/2014/main" id="{00000000-0008-0000-0700-00000D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56</xdr:row>
          <xdr:rowOff>104775</xdr:rowOff>
        </xdr:from>
        <xdr:to>
          <xdr:col>10</xdr:col>
          <xdr:colOff>314325</xdr:colOff>
          <xdr:row>58</xdr:row>
          <xdr:rowOff>85725</xdr:rowOff>
        </xdr:to>
        <xdr:sp macro="" textlink="">
          <xdr:nvSpPr>
            <xdr:cNvPr id="520206" name="Check Box 14" hidden="1">
              <a:extLst>
                <a:ext uri="{63B3BB69-23CF-44E3-9099-C40C66FF867C}">
                  <a14:compatExt spid="_x0000_s520206"/>
                </a:ext>
                <a:ext uri="{FF2B5EF4-FFF2-40B4-BE49-F238E27FC236}">
                  <a16:creationId xmlns:a16="http://schemas.microsoft.com/office/drawing/2014/main" id="{00000000-0008-0000-0700-00000E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59</xdr:row>
          <xdr:rowOff>85725</xdr:rowOff>
        </xdr:from>
        <xdr:to>
          <xdr:col>10</xdr:col>
          <xdr:colOff>314325</xdr:colOff>
          <xdr:row>62</xdr:row>
          <xdr:rowOff>0</xdr:rowOff>
        </xdr:to>
        <xdr:sp macro="" textlink="">
          <xdr:nvSpPr>
            <xdr:cNvPr id="520207" name="Check Box 15" hidden="1">
              <a:extLst>
                <a:ext uri="{63B3BB69-23CF-44E3-9099-C40C66FF867C}">
                  <a14:compatExt spid="_x0000_s520207"/>
                </a:ext>
                <a:ext uri="{FF2B5EF4-FFF2-40B4-BE49-F238E27FC236}">
                  <a16:creationId xmlns:a16="http://schemas.microsoft.com/office/drawing/2014/main" id="{00000000-0008-0000-0700-00000F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61</xdr:row>
          <xdr:rowOff>114300</xdr:rowOff>
        </xdr:from>
        <xdr:to>
          <xdr:col>10</xdr:col>
          <xdr:colOff>314325</xdr:colOff>
          <xdr:row>64</xdr:row>
          <xdr:rowOff>9525</xdr:rowOff>
        </xdr:to>
        <xdr:sp macro="" textlink="">
          <xdr:nvSpPr>
            <xdr:cNvPr id="520208" name="Check Box 16" hidden="1">
              <a:extLst>
                <a:ext uri="{63B3BB69-23CF-44E3-9099-C40C66FF867C}">
                  <a14:compatExt spid="_x0000_s520208"/>
                </a:ext>
                <a:ext uri="{FF2B5EF4-FFF2-40B4-BE49-F238E27FC236}">
                  <a16:creationId xmlns:a16="http://schemas.microsoft.com/office/drawing/2014/main" id="{00000000-0008-0000-0700-000010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63</xdr:row>
          <xdr:rowOff>114300</xdr:rowOff>
        </xdr:from>
        <xdr:to>
          <xdr:col>10</xdr:col>
          <xdr:colOff>314325</xdr:colOff>
          <xdr:row>66</xdr:row>
          <xdr:rowOff>9525</xdr:rowOff>
        </xdr:to>
        <xdr:sp macro="" textlink="">
          <xdr:nvSpPr>
            <xdr:cNvPr id="520209" name="Check Box 17" hidden="1">
              <a:extLst>
                <a:ext uri="{63B3BB69-23CF-44E3-9099-C40C66FF867C}">
                  <a14:compatExt spid="_x0000_s520209"/>
                </a:ext>
                <a:ext uri="{FF2B5EF4-FFF2-40B4-BE49-F238E27FC236}">
                  <a16:creationId xmlns:a16="http://schemas.microsoft.com/office/drawing/2014/main" id="{00000000-0008-0000-0700-000011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771525</xdr:colOff>
          <xdr:row>46</xdr:row>
          <xdr:rowOff>95250</xdr:rowOff>
        </xdr:from>
        <xdr:to>
          <xdr:col>11</xdr:col>
          <xdr:colOff>276225</xdr:colOff>
          <xdr:row>48</xdr:row>
          <xdr:rowOff>57150</xdr:rowOff>
        </xdr:to>
        <xdr:sp macro="" textlink="">
          <xdr:nvSpPr>
            <xdr:cNvPr id="520210" name="Check Box 18" hidden="1">
              <a:extLst>
                <a:ext uri="{63B3BB69-23CF-44E3-9099-C40C66FF867C}">
                  <a14:compatExt spid="_x0000_s520210"/>
                </a:ext>
                <a:ext uri="{FF2B5EF4-FFF2-40B4-BE49-F238E27FC236}">
                  <a16:creationId xmlns:a16="http://schemas.microsoft.com/office/drawing/2014/main" id="{00000000-0008-0000-0700-000012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771525</xdr:colOff>
          <xdr:row>49</xdr:row>
          <xdr:rowOff>95250</xdr:rowOff>
        </xdr:from>
        <xdr:to>
          <xdr:col>11</xdr:col>
          <xdr:colOff>276225</xdr:colOff>
          <xdr:row>51</xdr:row>
          <xdr:rowOff>66675</xdr:rowOff>
        </xdr:to>
        <xdr:sp macro="" textlink="">
          <xdr:nvSpPr>
            <xdr:cNvPr id="520211" name="Check Box 19" hidden="1">
              <a:extLst>
                <a:ext uri="{63B3BB69-23CF-44E3-9099-C40C66FF867C}">
                  <a14:compatExt spid="_x0000_s520211"/>
                </a:ext>
                <a:ext uri="{FF2B5EF4-FFF2-40B4-BE49-F238E27FC236}">
                  <a16:creationId xmlns:a16="http://schemas.microsoft.com/office/drawing/2014/main" id="{00000000-0008-0000-0700-000013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771525</xdr:colOff>
          <xdr:row>51</xdr:row>
          <xdr:rowOff>114300</xdr:rowOff>
        </xdr:from>
        <xdr:to>
          <xdr:col>11</xdr:col>
          <xdr:colOff>276225</xdr:colOff>
          <xdr:row>53</xdr:row>
          <xdr:rowOff>76200</xdr:rowOff>
        </xdr:to>
        <xdr:sp macro="" textlink="">
          <xdr:nvSpPr>
            <xdr:cNvPr id="520212" name="Check Box 20" hidden="1">
              <a:extLst>
                <a:ext uri="{63B3BB69-23CF-44E3-9099-C40C66FF867C}">
                  <a14:compatExt spid="_x0000_s520212"/>
                </a:ext>
                <a:ext uri="{FF2B5EF4-FFF2-40B4-BE49-F238E27FC236}">
                  <a16:creationId xmlns:a16="http://schemas.microsoft.com/office/drawing/2014/main" id="{00000000-0008-0000-0700-000014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781050</xdr:colOff>
          <xdr:row>59</xdr:row>
          <xdr:rowOff>95250</xdr:rowOff>
        </xdr:from>
        <xdr:to>
          <xdr:col>11</xdr:col>
          <xdr:colOff>285750</xdr:colOff>
          <xdr:row>62</xdr:row>
          <xdr:rowOff>0</xdr:rowOff>
        </xdr:to>
        <xdr:sp macro="" textlink="">
          <xdr:nvSpPr>
            <xdr:cNvPr id="520213" name="Check Box 21" hidden="1">
              <a:extLst>
                <a:ext uri="{63B3BB69-23CF-44E3-9099-C40C66FF867C}">
                  <a14:compatExt spid="_x0000_s520213"/>
                </a:ext>
                <a:ext uri="{FF2B5EF4-FFF2-40B4-BE49-F238E27FC236}">
                  <a16:creationId xmlns:a16="http://schemas.microsoft.com/office/drawing/2014/main" id="{00000000-0008-0000-0700-000015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781050</xdr:colOff>
          <xdr:row>63</xdr:row>
          <xdr:rowOff>114300</xdr:rowOff>
        </xdr:from>
        <xdr:to>
          <xdr:col>11</xdr:col>
          <xdr:colOff>285750</xdr:colOff>
          <xdr:row>66</xdr:row>
          <xdr:rowOff>9525</xdr:rowOff>
        </xdr:to>
        <xdr:sp macro="" textlink="">
          <xdr:nvSpPr>
            <xdr:cNvPr id="520214" name="Check Box 22" hidden="1">
              <a:extLst>
                <a:ext uri="{63B3BB69-23CF-44E3-9099-C40C66FF867C}">
                  <a14:compatExt spid="_x0000_s520214"/>
                </a:ext>
                <a:ext uri="{FF2B5EF4-FFF2-40B4-BE49-F238E27FC236}">
                  <a16:creationId xmlns:a16="http://schemas.microsoft.com/office/drawing/2014/main" id="{00000000-0008-0000-0700-000016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781050</xdr:colOff>
          <xdr:row>56</xdr:row>
          <xdr:rowOff>104775</xdr:rowOff>
        </xdr:from>
        <xdr:to>
          <xdr:col>11</xdr:col>
          <xdr:colOff>285750</xdr:colOff>
          <xdr:row>58</xdr:row>
          <xdr:rowOff>85725</xdr:rowOff>
        </xdr:to>
        <xdr:sp macro="" textlink="">
          <xdr:nvSpPr>
            <xdr:cNvPr id="520215" name="Check Box 23" hidden="1">
              <a:extLst>
                <a:ext uri="{63B3BB69-23CF-44E3-9099-C40C66FF867C}">
                  <a14:compatExt spid="_x0000_s520215"/>
                </a:ext>
                <a:ext uri="{FF2B5EF4-FFF2-40B4-BE49-F238E27FC236}">
                  <a16:creationId xmlns:a16="http://schemas.microsoft.com/office/drawing/2014/main" id="{00000000-0008-0000-0700-000017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771525</xdr:colOff>
          <xdr:row>53</xdr:row>
          <xdr:rowOff>95250</xdr:rowOff>
        </xdr:from>
        <xdr:to>
          <xdr:col>11</xdr:col>
          <xdr:colOff>276225</xdr:colOff>
          <xdr:row>55</xdr:row>
          <xdr:rowOff>57150</xdr:rowOff>
        </xdr:to>
        <xdr:sp macro="" textlink="">
          <xdr:nvSpPr>
            <xdr:cNvPr id="520216" name="Check Box 24" hidden="1">
              <a:extLst>
                <a:ext uri="{63B3BB69-23CF-44E3-9099-C40C66FF867C}">
                  <a14:compatExt spid="_x0000_s520216"/>
                </a:ext>
                <a:ext uri="{FF2B5EF4-FFF2-40B4-BE49-F238E27FC236}">
                  <a16:creationId xmlns:a16="http://schemas.microsoft.com/office/drawing/2014/main" id="{00000000-0008-0000-0700-000018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781050</xdr:colOff>
          <xdr:row>61</xdr:row>
          <xdr:rowOff>114300</xdr:rowOff>
        </xdr:from>
        <xdr:to>
          <xdr:col>11</xdr:col>
          <xdr:colOff>285750</xdr:colOff>
          <xdr:row>64</xdr:row>
          <xdr:rowOff>9525</xdr:rowOff>
        </xdr:to>
        <xdr:sp macro="" textlink="">
          <xdr:nvSpPr>
            <xdr:cNvPr id="520217" name="Check Box 25" hidden="1">
              <a:extLst>
                <a:ext uri="{63B3BB69-23CF-44E3-9099-C40C66FF867C}">
                  <a14:compatExt spid="_x0000_s520217"/>
                </a:ext>
                <a:ext uri="{FF2B5EF4-FFF2-40B4-BE49-F238E27FC236}">
                  <a16:creationId xmlns:a16="http://schemas.microsoft.com/office/drawing/2014/main" id="{00000000-0008-0000-0700-000019F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118082</xdr:rowOff>
    </xdr:from>
    <xdr:ext cx="10033830" cy="134829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20616417">
          <a:off x="0" y="2137382"/>
          <a:ext cx="10033830" cy="134829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8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Not Applicable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190501</xdr:rowOff>
    </xdr:from>
    <xdr:to>
      <xdr:col>2</xdr:col>
      <xdr:colOff>323850</xdr:colOff>
      <xdr:row>2</xdr:row>
      <xdr:rowOff>171451</xdr:rowOff>
    </xdr:to>
    <xdr:pic>
      <xdr:nvPicPr>
        <xdr:cNvPr id="3" name="Picture 2" descr="cid:image014.png@01D7465F.F1656330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90501"/>
          <a:ext cx="57150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38100</xdr:rowOff>
    </xdr:from>
    <xdr:to>
      <xdr:col>11</xdr:col>
      <xdr:colOff>0</xdr:colOff>
      <xdr:row>0</xdr:row>
      <xdr:rowOff>295275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13658850" y="38100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38100</xdr:rowOff>
    </xdr:from>
    <xdr:to>
      <xdr:col>9</xdr:col>
      <xdr:colOff>0</xdr:colOff>
      <xdr:row>0</xdr:row>
      <xdr:rowOff>295275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13658850" y="38100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190501</xdr:rowOff>
    </xdr:from>
    <xdr:to>
      <xdr:col>2</xdr:col>
      <xdr:colOff>323850</xdr:colOff>
      <xdr:row>2</xdr:row>
      <xdr:rowOff>171451</xdr:rowOff>
    </xdr:to>
    <xdr:pic>
      <xdr:nvPicPr>
        <xdr:cNvPr id="2" name="Picture 1" descr="cid:image014.png@01D7465F.F165633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90501"/>
          <a:ext cx="57150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904875</xdr:colOff>
      <xdr:row>0</xdr:row>
      <xdr:rowOff>47625</xdr:rowOff>
    </xdr:from>
    <xdr:to>
      <xdr:col>5</xdr:col>
      <xdr:colOff>914400</xdr:colOff>
      <xdr:row>0</xdr:row>
      <xdr:rowOff>428625</xdr:rowOff>
    </xdr:to>
    <xdr:sp macro="" textlink="">
      <xdr:nvSpPr>
        <xdr:cNvPr id="13312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80200}"/>
            </a:ext>
          </a:extLst>
        </xdr:cNvPr>
        <xdr:cNvSpPr>
          <a:spLocks noChangeArrowheads="1"/>
        </xdr:cNvSpPr>
      </xdr:nvSpPr>
      <xdr:spPr bwMode="auto">
        <a:xfrm>
          <a:off x="6991350" y="47625"/>
          <a:ext cx="9525" cy="381000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5</xdr:col>
      <xdr:colOff>904875</xdr:colOff>
      <xdr:row>0</xdr:row>
      <xdr:rowOff>47625</xdr:rowOff>
    </xdr:from>
    <xdr:to>
      <xdr:col>5</xdr:col>
      <xdr:colOff>914400</xdr:colOff>
      <xdr:row>0</xdr:row>
      <xdr:rowOff>428625</xdr:rowOff>
    </xdr:to>
    <xdr:sp macro="" textlink="">
      <xdr:nvSpPr>
        <xdr:cNvPr id="13312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80200}"/>
            </a:ext>
          </a:extLst>
        </xdr:cNvPr>
        <xdr:cNvSpPr>
          <a:spLocks noChangeArrowheads="1"/>
        </xdr:cNvSpPr>
      </xdr:nvSpPr>
      <xdr:spPr bwMode="auto">
        <a:xfrm>
          <a:off x="6991350" y="47625"/>
          <a:ext cx="9525" cy="381000"/>
        </a:xfrm>
        <a:prstGeom prst="roundRect">
          <a:avLst>
            <a:gd name="adj" fmla="val 16667"/>
          </a:avLst>
        </a:prstGeom>
        <a:solidFill>
          <a:srgbClr val="008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133350</xdr:rowOff>
    </xdr:from>
    <xdr:to>
      <xdr:col>2</xdr:col>
      <xdr:colOff>190500</xdr:colOff>
      <xdr:row>2</xdr:row>
      <xdr:rowOff>171450</xdr:rowOff>
    </xdr:to>
    <xdr:pic>
      <xdr:nvPicPr>
        <xdr:cNvPr id="10" name="Picture 9" descr="cid:image014.png@01D7465F.F165633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28650"/>
          <a:ext cx="504825" cy="276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38100</xdr:rowOff>
    </xdr:from>
    <xdr:to>
      <xdr:col>9</xdr:col>
      <xdr:colOff>0</xdr:colOff>
      <xdr:row>0</xdr:row>
      <xdr:rowOff>295275</xdr:rowOff>
    </xdr:to>
    <xdr:sp macro="" textlink="">
      <xdr:nvSpPr>
        <xdr:cNvPr id="12595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EC0100}"/>
            </a:ext>
          </a:extLst>
        </xdr:cNvPr>
        <xdr:cNvSpPr>
          <a:spLocks noChangeArrowheads="1"/>
        </xdr:cNvSpPr>
      </xdr:nvSpPr>
      <xdr:spPr bwMode="auto">
        <a:xfrm>
          <a:off x="9772650" y="38100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9</xdr:col>
      <xdr:colOff>0</xdr:colOff>
      <xdr:row>0</xdr:row>
      <xdr:rowOff>38100</xdr:rowOff>
    </xdr:from>
    <xdr:to>
      <xdr:col>9</xdr:col>
      <xdr:colOff>0</xdr:colOff>
      <xdr:row>0</xdr:row>
      <xdr:rowOff>295275</xdr:rowOff>
    </xdr:to>
    <xdr:sp macro="" textlink="">
      <xdr:nvSpPr>
        <xdr:cNvPr id="12595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EC0100}"/>
            </a:ext>
          </a:extLst>
        </xdr:cNvPr>
        <xdr:cNvSpPr>
          <a:spLocks noChangeArrowheads="1"/>
        </xdr:cNvSpPr>
      </xdr:nvSpPr>
      <xdr:spPr bwMode="auto">
        <a:xfrm>
          <a:off x="9772650" y="38100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</xdr:col>
      <xdr:colOff>186489</xdr:colOff>
      <xdr:row>1</xdr:row>
      <xdr:rowOff>54143</xdr:rowOff>
    </xdr:from>
    <xdr:to>
      <xdr:col>2</xdr:col>
      <xdr:colOff>346911</xdr:colOff>
      <xdr:row>2</xdr:row>
      <xdr:rowOff>254670</xdr:rowOff>
    </xdr:to>
    <xdr:pic>
      <xdr:nvPicPr>
        <xdr:cNvPr id="7" name="Picture 6" descr="cid:image014.png@01D7465F.F1656330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94" y="405064"/>
          <a:ext cx="611606" cy="5514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38100</xdr:rowOff>
    </xdr:from>
    <xdr:to>
      <xdr:col>4</xdr:col>
      <xdr:colOff>0</xdr:colOff>
      <xdr:row>0</xdr:row>
      <xdr:rowOff>295275</xdr:rowOff>
    </xdr:to>
    <xdr:sp macro="" textlink="">
      <xdr:nvSpPr>
        <xdr:cNvPr id="12697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F00100}"/>
            </a:ext>
          </a:extLst>
        </xdr:cNvPr>
        <xdr:cNvSpPr>
          <a:spLocks noChangeArrowheads="1"/>
        </xdr:cNvSpPr>
      </xdr:nvSpPr>
      <xdr:spPr bwMode="auto">
        <a:xfrm>
          <a:off x="8582025" y="38100"/>
          <a:ext cx="0" cy="257175"/>
        </a:xfrm>
        <a:prstGeom prst="roundRect">
          <a:avLst>
            <a:gd name="adj" fmla="val 16667"/>
          </a:avLst>
        </a:prstGeom>
        <a:solidFill>
          <a:srgbClr val="00008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</xdr:col>
      <xdr:colOff>160244</xdr:colOff>
      <xdr:row>1</xdr:row>
      <xdr:rowOff>196103</xdr:rowOff>
    </xdr:from>
    <xdr:to>
      <xdr:col>1</xdr:col>
      <xdr:colOff>736787</xdr:colOff>
      <xdr:row>2</xdr:row>
      <xdr:rowOff>228601</xdr:rowOff>
    </xdr:to>
    <xdr:pic>
      <xdr:nvPicPr>
        <xdr:cNvPr id="3" name="Picture 2" descr="cid:image014.png@01D7465F.F1656330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832" y="420221"/>
          <a:ext cx="576543" cy="447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142875</xdr:rowOff>
    </xdr:from>
    <xdr:to>
      <xdr:col>7</xdr:col>
      <xdr:colOff>200025</xdr:colOff>
      <xdr:row>5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4267200" y="628650"/>
          <a:ext cx="2000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n-US"/>
            <a:t>X</a:t>
          </a:r>
        </a:p>
      </xdr:txBody>
    </xdr:sp>
    <xdr:clientData/>
  </xdr:twoCellAnchor>
  <xdr:twoCellAnchor>
    <xdr:from>
      <xdr:col>7</xdr:col>
      <xdr:colOff>914400</xdr:colOff>
      <xdr:row>3</xdr:row>
      <xdr:rowOff>142875</xdr:rowOff>
    </xdr:from>
    <xdr:to>
      <xdr:col>7</xdr:col>
      <xdr:colOff>1114425</xdr:colOff>
      <xdr:row>5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4876800" y="6286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6096000" y="6286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6096000" y="6286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142875</xdr:rowOff>
    </xdr:from>
    <xdr:to>
      <xdr:col>7</xdr:col>
      <xdr:colOff>200025</xdr:colOff>
      <xdr:row>5</xdr:row>
      <xdr:rowOff>0</xdr:rowOff>
    </xdr:to>
    <xdr:sp macro="" textlink="">
      <xdr:nvSpPr>
        <xdr:cNvPr id="190466" name="Text Box 2">
          <a:extLst>
            <a:ext uri="{FF2B5EF4-FFF2-40B4-BE49-F238E27FC236}">
              <a16:creationId xmlns:a16="http://schemas.microsoft.com/office/drawing/2014/main" id="{00000000-0008-0000-1300-000002E80200}"/>
            </a:ext>
          </a:extLst>
        </xdr:cNvPr>
        <xdr:cNvSpPr txBox="1">
          <a:spLocks noChangeArrowheads="1"/>
        </xdr:cNvSpPr>
      </xdr:nvSpPr>
      <xdr:spPr bwMode="auto">
        <a:xfrm>
          <a:off x="4419600" y="100965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7</xdr:col>
      <xdr:colOff>914400</xdr:colOff>
      <xdr:row>3</xdr:row>
      <xdr:rowOff>142875</xdr:rowOff>
    </xdr:from>
    <xdr:to>
      <xdr:col>7</xdr:col>
      <xdr:colOff>1114425</xdr:colOff>
      <xdr:row>5</xdr:row>
      <xdr:rowOff>0</xdr:rowOff>
    </xdr:to>
    <xdr:sp macro="" textlink="">
      <xdr:nvSpPr>
        <xdr:cNvPr id="190476" name="Text Box 3">
          <a:extLst>
            <a:ext uri="{FF2B5EF4-FFF2-40B4-BE49-F238E27FC236}">
              <a16:creationId xmlns:a16="http://schemas.microsoft.com/office/drawing/2014/main" id="{00000000-0008-0000-1300-00000CE80200}"/>
            </a:ext>
          </a:extLst>
        </xdr:cNvPr>
        <xdr:cNvSpPr txBox="1">
          <a:spLocks noChangeArrowheads="1"/>
        </xdr:cNvSpPr>
      </xdr:nvSpPr>
      <xdr:spPr bwMode="auto">
        <a:xfrm>
          <a:off x="5334000" y="100965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</xdr:row>
      <xdr:rowOff>142875</xdr:rowOff>
    </xdr:from>
    <xdr:to>
      <xdr:col>10</xdr:col>
      <xdr:colOff>0</xdr:colOff>
      <xdr:row>5</xdr:row>
      <xdr:rowOff>0</xdr:rowOff>
    </xdr:to>
    <xdr:sp macro="" textlink="">
      <xdr:nvSpPr>
        <xdr:cNvPr id="190470" name="Text Box 6">
          <a:extLst>
            <a:ext uri="{FF2B5EF4-FFF2-40B4-BE49-F238E27FC236}">
              <a16:creationId xmlns:a16="http://schemas.microsoft.com/office/drawing/2014/main" id="{00000000-0008-0000-1300-000006E80200}"/>
            </a:ext>
          </a:extLst>
        </xdr:cNvPr>
        <xdr:cNvSpPr txBox="1">
          <a:spLocks noChangeArrowheads="1"/>
        </xdr:cNvSpPr>
      </xdr:nvSpPr>
      <xdr:spPr bwMode="auto">
        <a:xfrm>
          <a:off x="16535400" y="1009650"/>
          <a:ext cx="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10</xdr:col>
      <xdr:colOff>0</xdr:colOff>
      <xdr:row>3</xdr:row>
      <xdr:rowOff>142875</xdr:rowOff>
    </xdr:from>
    <xdr:to>
      <xdr:col>10</xdr:col>
      <xdr:colOff>0</xdr:colOff>
      <xdr:row>5</xdr:row>
      <xdr:rowOff>0</xdr:rowOff>
    </xdr:to>
    <xdr:sp macro="" textlink="">
      <xdr:nvSpPr>
        <xdr:cNvPr id="190480" name="Text Box 7">
          <a:extLst>
            <a:ext uri="{FF2B5EF4-FFF2-40B4-BE49-F238E27FC236}">
              <a16:creationId xmlns:a16="http://schemas.microsoft.com/office/drawing/2014/main" id="{00000000-0008-0000-1300-000010E80200}"/>
            </a:ext>
          </a:extLst>
        </xdr:cNvPr>
        <xdr:cNvSpPr txBox="1">
          <a:spLocks noChangeArrowheads="1"/>
        </xdr:cNvSpPr>
      </xdr:nvSpPr>
      <xdr:spPr bwMode="auto">
        <a:xfrm>
          <a:off x="16535400" y="1009650"/>
          <a:ext cx="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123825</xdr:rowOff>
    </xdr:from>
    <xdr:to>
      <xdr:col>5</xdr:col>
      <xdr:colOff>219075</xdr:colOff>
      <xdr:row>4</xdr:row>
      <xdr:rowOff>219075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5238750" y="1028700"/>
          <a:ext cx="20002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>
    <xdr:from>
      <xdr:col>5</xdr:col>
      <xdr:colOff>925286</xdr:colOff>
      <xdr:row>3</xdr:row>
      <xdr:rowOff>129268</xdr:rowOff>
    </xdr:from>
    <xdr:to>
      <xdr:col>5</xdr:col>
      <xdr:colOff>1125311</xdr:colOff>
      <xdr:row>4</xdr:row>
      <xdr:rowOff>231322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6144986" y="1034143"/>
          <a:ext cx="200025" cy="2735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38100</xdr:rowOff>
    </xdr:from>
    <xdr:to>
      <xdr:col>6</xdr:col>
      <xdr:colOff>0</xdr:colOff>
      <xdr:row>0</xdr:row>
      <xdr:rowOff>295275</xdr:rowOff>
    </xdr:to>
    <xdr:sp macro="" textlink="">
      <xdr:nvSpPr>
        <xdr:cNvPr id="13414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C0200}"/>
            </a:ext>
          </a:extLst>
        </xdr:cNvPr>
        <xdr:cNvSpPr>
          <a:spLocks noChangeArrowheads="1"/>
        </xdr:cNvSpPr>
      </xdr:nvSpPr>
      <xdr:spPr bwMode="auto">
        <a:xfrm>
          <a:off x="7096125" y="38100"/>
          <a:ext cx="0" cy="257175"/>
        </a:xfrm>
        <a:prstGeom prst="roundRect">
          <a:avLst>
            <a:gd name="adj" fmla="val 16667"/>
          </a:avLst>
        </a:prstGeom>
        <a:solidFill>
          <a:srgbClr val="3333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971550</xdr:colOff>
      <xdr:row>0</xdr:row>
      <xdr:rowOff>28575</xdr:rowOff>
    </xdr:from>
    <xdr:to>
      <xdr:col>5</xdr:col>
      <xdr:colOff>971550</xdr:colOff>
      <xdr:row>0</xdr:row>
      <xdr:rowOff>285750</xdr:rowOff>
    </xdr:to>
    <xdr:sp macro="" textlink="">
      <xdr:nvSpPr>
        <xdr:cNvPr id="14029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240200}"/>
            </a:ext>
          </a:extLst>
        </xdr:cNvPr>
        <xdr:cNvSpPr>
          <a:spLocks noChangeArrowheads="1"/>
        </xdr:cNvSpPr>
      </xdr:nvSpPr>
      <xdr:spPr bwMode="auto">
        <a:xfrm>
          <a:off x="7058025" y="28575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5</xdr:col>
      <xdr:colOff>971550</xdr:colOff>
      <xdr:row>0</xdr:row>
      <xdr:rowOff>28575</xdr:rowOff>
    </xdr:from>
    <xdr:to>
      <xdr:col>5</xdr:col>
      <xdr:colOff>971550</xdr:colOff>
      <xdr:row>0</xdr:row>
      <xdr:rowOff>285750</xdr:rowOff>
    </xdr:to>
    <xdr:sp macro="" textlink="">
      <xdr:nvSpPr>
        <xdr:cNvPr id="14029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240200}"/>
            </a:ext>
          </a:extLst>
        </xdr:cNvPr>
        <xdr:cNvSpPr>
          <a:spLocks noChangeArrowheads="1"/>
        </xdr:cNvSpPr>
      </xdr:nvSpPr>
      <xdr:spPr bwMode="auto">
        <a:xfrm>
          <a:off x="7058025" y="28575"/>
          <a:ext cx="0" cy="257175"/>
        </a:xfrm>
        <a:prstGeom prst="roundRect">
          <a:avLst>
            <a:gd name="adj" fmla="val 16667"/>
          </a:avLst>
        </a:prstGeom>
        <a:solidFill>
          <a:srgbClr val="FF0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</xdr:col>
      <xdr:colOff>209550</xdr:colOff>
      <xdr:row>10</xdr:row>
      <xdr:rowOff>152400</xdr:rowOff>
    </xdr:from>
    <xdr:to>
      <xdr:col>5</xdr:col>
      <xdr:colOff>742950</xdr:colOff>
      <xdr:row>34</xdr:row>
      <xdr:rowOff>85725</xdr:rowOff>
    </xdr:to>
    <xdr:sp macro="" textlink="">
      <xdr:nvSpPr>
        <xdr:cNvPr id="247811" name="Line 4">
          <a:extLst>
            <a:ext uri="{FF2B5EF4-FFF2-40B4-BE49-F238E27FC236}">
              <a16:creationId xmlns:a16="http://schemas.microsoft.com/office/drawing/2014/main" id="{00000000-0008-0000-1600-000003C80300}"/>
            </a:ext>
          </a:extLst>
        </xdr:cNvPr>
        <xdr:cNvSpPr>
          <a:spLocks noChangeShapeType="1"/>
        </xdr:cNvSpPr>
      </xdr:nvSpPr>
      <xdr:spPr bwMode="auto">
        <a:xfrm>
          <a:off x="819150" y="2790825"/>
          <a:ext cx="6010275" cy="5876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123825</xdr:colOff>
      <xdr:row>22</xdr:row>
      <xdr:rowOff>76200</xdr:rowOff>
    </xdr:from>
    <xdr:to>
      <xdr:col>4</xdr:col>
      <xdr:colOff>171450</xdr:colOff>
      <xdr:row>25</xdr:row>
      <xdr:rowOff>123825</xdr:rowOff>
    </xdr:to>
    <xdr:sp macro="" textlink="">
      <xdr:nvSpPr>
        <xdr:cNvPr id="140293" name="Text Box 5">
          <a:extLst>
            <a:ext uri="{FF2B5EF4-FFF2-40B4-BE49-F238E27FC236}">
              <a16:creationId xmlns:a16="http://schemas.microsoft.com/office/drawing/2014/main" id="{00000000-0008-0000-1600-000005240200}"/>
            </a:ext>
          </a:extLst>
        </xdr:cNvPr>
        <xdr:cNvSpPr txBox="1">
          <a:spLocks noChangeArrowheads="1"/>
        </xdr:cNvSpPr>
      </xdr:nvSpPr>
      <xdr:spPr bwMode="auto">
        <a:xfrm>
          <a:off x="3152775" y="5686425"/>
          <a:ext cx="1971675" cy="790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1">
            <a:defRPr sz="1000"/>
          </a:pPr>
          <a:r>
            <a:rPr lang="en-US" sz="5000" b="0" i="0" strike="noStrike">
              <a:solidFill>
                <a:srgbClr val="000000"/>
              </a:solidFill>
              <a:latin typeface="Arial"/>
              <a:cs typeface="Arial"/>
            </a:rPr>
            <a:t>N I L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38100</xdr:rowOff>
    </xdr:from>
    <xdr:to>
      <xdr:col>13</xdr:col>
      <xdr:colOff>0</xdr:colOff>
      <xdr:row>0</xdr:row>
      <xdr:rowOff>295275</xdr:rowOff>
    </xdr:to>
    <xdr:sp macro="" textlink="">
      <xdr:nvSpPr>
        <xdr:cNvPr id="14643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43C0200}"/>
            </a:ext>
          </a:extLst>
        </xdr:cNvPr>
        <xdr:cNvSpPr>
          <a:spLocks noChangeArrowheads="1"/>
        </xdr:cNvSpPr>
      </xdr:nvSpPr>
      <xdr:spPr bwMode="auto">
        <a:xfrm>
          <a:off x="79533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13</xdr:col>
      <xdr:colOff>0</xdr:colOff>
      <xdr:row>0</xdr:row>
      <xdr:rowOff>38100</xdr:rowOff>
    </xdr:from>
    <xdr:to>
      <xdr:col>13</xdr:col>
      <xdr:colOff>0</xdr:colOff>
      <xdr:row>0</xdr:row>
      <xdr:rowOff>295275</xdr:rowOff>
    </xdr:to>
    <xdr:sp macro="" textlink="">
      <xdr:nvSpPr>
        <xdr:cNvPr id="14643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73C0200}"/>
            </a:ext>
          </a:extLst>
        </xdr:cNvPr>
        <xdr:cNvSpPr>
          <a:spLocks noChangeArrowheads="1"/>
        </xdr:cNvSpPr>
      </xdr:nvSpPr>
      <xdr:spPr bwMode="auto">
        <a:xfrm>
          <a:off x="79533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13</xdr:col>
      <xdr:colOff>0</xdr:colOff>
      <xdr:row>0</xdr:row>
      <xdr:rowOff>38100</xdr:rowOff>
    </xdr:from>
    <xdr:to>
      <xdr:col>13</xdr:col>
      <xdr:colOff>0</xdr:colOff>
      <xdr:row>0</xdr:row>
      <xdr:rowOff>295275</xdr:rowOff>
    </xdr:to>
    <xdr:sp macro="" textlink="">
      <xdr:nvSpPr>
        <xdr:cNvPr id="14644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A3C0200}"/>
            </a:ext>
          </a:extLst>
        </xdr:cNvPr>
        <xdr:cNvSpPr>
          <a:spLocks noChangeArrowheads="1"/>
        </xdr:cNvSpPr>
      </xdr:nvSpPr>
      <xdr:spPr bwMode="auto">
        <a:xfrm>
          <a:off x="79533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18</xdr:col>
      <xdr:colOff>0</xdr:colOff>
      <xdr:row>0</xdr:row>
      <xdr:rowOff>38100</xdr:rowOff>
    </xdr:from>
    <xdr:to>
      <xdr:col>18</xdr:col>
      <xdr:colOff>0</xdr:colOff>
      <xdr:row>0</xdr:row>
      <xdr:rowOff>295275</xdr:rowOff>
    </xdr:to>
    <xdr:sp macro="" textlink="">
      <xdr:nvSpPr>
        <xdr:cNvPr id="14644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D3C0200}"/>
            </a:ext>
          </a:extLst>
        </xdr:cNvPr>
        <xdr:cNvSpPr>
          <a:spLocks noChangeArrowheads="1"/>
        </xdr:cNvSpPr>
      </xdr:nvSpPr>
      <xdr:spPr bwMode="auto">
        <a:xfrm>
          <a:off x="13134975" y="38100"/>
          <a:ext cx="0" cy="257175"/>
        </a:xfrm>
        <a:prstGeom prst="roundRect">
          <a:avLst>
            <a:gd name="adj" fmla="val 16667"/>
          </a:avLst>
        </a:prstGeom>
        <a:solidFill>
          <a:srgbClr val="808000">
            <a:alpha val="25000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18</xdr:col>
      <xdr:colOff>0</xdr:colOff>
      <xdr:row>0</xdr:row>
      <xdr:rowOff>38100</xdr:rowOff>
    </xdr:from>
    <xdr:to>
      <xdr:col>18</xdr:col>
      <xdr:colOff>0</xdr:colOff>
      <xdr:row>0</xdr:row>
      <xdr:rowOff>295275</xdr:rowOff>
    </xdr:to>
    <xdr:sp macro="" textlink="">
      <xdr:nvSpPr>
        <xdr:cNvPr id="14644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E3C0200}"/>
            </a:ext>
          </a:extLst>
        </xdr:cNvPr>
        <xdr:cNvSpPr>
          <a:spLocks noChangeArrowheads="1"/>
        </xdr:cNvSpPr>
      </xdr:nvSpPr>
      <xdr:spPr bwMode="auto">
        <a:xfrm>
          <a:off x="131349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18</xdr:col>
      <xdr:colOff>0</xdr:colOff>
      <xdr:row>0</xdr:row>
      <xdr:rowOff>38100</xdr:rowOff>
    </xdr:from>
    <xdr:to>
      <xdr:col>18</xdr:col>
      <xdr:colOff>0</xdr:colOff>
      <xdr:row>0</xdr:row>
      <xdr:rowOff>295275</xdr:rowOff>
    </xdr:to>
    <xdr:sp macro="" textlink="">
      <xdr:nvSpPr>
        <xdr:cNvPr id="14644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F3C0200}"/>
            </a:ext>
          </a:extLst>
        </xdr:cNvPr>
        <xdr:cNvSpPr>
          <a:spLocks noChangeArrowheads="1"/>
        </xdr:cNvSpPr>
      </xdr:nvSpPr>
      <xdr:spPr bwMode="auto">
        <a:xfrm>
          <a:off x="131349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>
    <xdr:from>
      <xdr:col>18</xdr:col>
      <xdr:colOff>0</xdr:colOff>
      <xdr:row>0</xdr:row>
      <xdr:rowOff>38100</xdr:rowOff>
    </xdr:from>
    <xdr:to>
      <xdr:col>18</xdr:col>
      <xdr:colOff>0</xdr:colOff>
      <xdr:row>0</xdr:row>
      <xdr:rowOff>295275</xdr:rowOff>
    </xdr:to>
    <xdr:sp macro="" textlink="">
      <xdr:nvSpPr>
        <xdr:cNvPr id="14644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103C0200}"/>
            </a:ext>
          </a:extLst>
        </xdr:cNvPr>
        <xdr:cNvSpPr>
          <a:spLocks noChangeArrowheads="1"/>
        </xdr:cNvSpPr>
      </xdr:nvSpPr>
      <xdr:spPr bwMode="auto">
        <a:xfrm>
          <a:off x="13134975" y="38100"/>
          <a:ext cx="0" cy="2571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00FF">
                <a:gamma/>
                <a:shade val="46275"/>
                <a:invGamma/>
              </a:srgbClr>
            </a:gs>
            <a:gs pos="100000">
              <a:srgbClr val="0000FF">
                <a:alpha val="25000"/>
              </a:srgbClr>
            </a:gs>
          </a:gsLst>
          <a:lin ang="5400000" scaled="1"/>
        </a:gradFill>
        <a:ln w="9525">
          <a:noFill/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900" b="0" i="0" strike="noStrike">
              <a:solidFill>
                <a:srgbClr val="FFFFFF"/>
              </a:solidFill>
              <a:latin typeface="Arial"/>
              <a:cs typeface="Arial"/>
            </a:rPr>
            <a:t>Menu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.bridge/3RD%20OFF%20KING/001%20PORT%20DOCUMENTS/002%20PORT%20DOC%20%20ENERGY%20INTEGRITY%20_IMO-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IOROOM\My%20Documents\My%20Documents\3rd%20Mate\3rd\PORT%20DOCUMENTS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%20Files\Documents%20and%20Settings\maldenderfer\Local%20Settings\Temporary%20Internet%20Files\OLKA\3OFF\Arrival%20Doc\USA\Arrival%20Doc\USA\FOR%20ARR,%20DEP\Chesapeake\2nd\Misc\AronisDo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JANFS001\Filingsystem\Documents%20and%20Settings\germaine.figarella\Local%20Settings\Temporary%20Internet%20Files\Content.Outlook\7RTLBAYD\Template%20CREW%20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dge-pc\AO\Shared%20Files\AO\%23%20MT%20Olympus%20Files%20-%20Ship's%20Office%20(AO)\african\ClearAfric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4.bridge/03.%20GMDSS%20Officer/02.%20Port%20Documents/02.%20Port%20Documents/imo%20fall%20to%20prepare/IMO_FAL_BANK%20-%20Flex%20Resolute%20Arr.%20INDAH%2013.03.20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4.bridge/03.%20GMDSS%20Officer/02.%20Port%20Documents/02.%20Port%20Documents/imo%20fall%20to%20prepare/IMO_FAL_BANK_FLEX_RESOLUTE_DEPARTURE%20SUEZ%20CA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%20Files\SENDFILES\REDFEXCEL1\PERS\SLOPRO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dge\valeriy\1234\B%20Sh\APL%20HOLLAND%20ALL%20PORT%20PAP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-pc\ADM%20Files\ADM%20Files\14.%20PERSONNEL%20DEPT\14.A%20CREW%20RECORDS\06.%20Others\Crew%20Certificates%20&amp;%20PRC\Sea%20Service%20&amp;%20PRC%20Cert.%20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ipboard%20filing%20(DO%20NOT%20REMOVE)\2.%20Chief%20Engineer\1%20-%20C-E%20%20FOLDER\Log-Abstract%2082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M%20Files\SENDFILES\REDFEXCEL1\PERS\MAINMEN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IOROOM\My%20Documents\3rd%20Mate\Some%20install\OWN\Mates\3rd%20Coral%20Pavona\Arrived\EmergencyContactShe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dge\!%20bridge%20officers%20file%20!\&#26032;&#38271;&#27801;&#21150;&#20851;&#36164;&#26009;\&#20013;&#22269;&#21150;&#20851;&#36164;&#26009;\Port%20Paper%20V14.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psoffice\SharedDocs\DANAOS%20MANUALS%20+%20FORMS%20LIBRARY\DSMS%20MAnUALS%20+forms\CREW%20FORMS%20VSL\CREW-36%20SAFE%20WORK%20OUTFITRev.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PS csv File Definition"/>
      <sheetName val="Example"/>
      <sheetName val="CrewEffects-Form4 -Copy"/>
      <sheetName val="ECO SEAS"/>
      <sheetName val="WELFARE"/>
      <sheetName val="OFF SIGNERS"/>
      <sheetName val="CASH ADVANCE (2)"/>
      <sheetName val="CREW CHANGE SCHEDULE"/>
      <sheetName val="M.Menu"/>
      <sheetName val="DataBase (IMO form)"/>
      <sheetName val=" Crew List Arr IMO"/>
      <sheetName val="CrewList Dep IMO"/>
      <sheetName val="Embarkation"/>
      <sheetName val="CrewEffects-IMO Form4"/>
      <sheetName val="CL-Singapore-SRB"/>
      <sheetName val="CL-Singapore-Pssport"/>
      <sheetName val=" Vaccine Yellow Fever"/>
      <sheetName val="Narcotics"/>
      <sheetName val=" Ships store declaration IMO"/>
      <sheetName val="Passenger List IMO"/>
      <sheetName val="Bonded store only"/>
      <sheetName val="Paint list only"/>
      <sheetName val="StoreL-Form3 Dep"/>
      <sheetName val="PortofCall"/>
      <sheetName val="ListofPort"/>
      <sheetName val="NIL-List (2)"/>
      <sheetName val="CrewMoneyDec"/>
      <sheetName val="Arm&amp;Ammu"/>
      <sheetName val="Crews Temp"/>
      <sheetName val="CargoDec-Form2 Arr"/>
      <sheetName val="Dangerous Good Manifest IMO "/>
      <sheetName val="GenDec-Form1 Arr"/>
      <sheetName val="CargoManifest Old"/>
      <sheetName val="US CBP-1303 STORELIST"/>
      <sheetName val="CargoDec-Form2 Dep"/>
      <sheetName val="CrewList DEP"/>
      <sheetName val="DataBase (US FORM)"/>
      <sheetName val="US I-418 p1 new"/>
      <sheetName val="US I-418 p2 new"/>
      <sheetName val="US I-418 p3 new"/>
      <sheetName val="US CBP-1304 EFFECTS"/>
      <sheetName val="CBP-1300"/>
      <sheetName val="CBP-1300Bck"/>
      <sheetName val="CBP-1301"/>
      <sheetName val="CBP-1302"/>
      <sheetName val="CBP-1302 Back"/>
      <sheetName val="Instructions"/>
      <sheetName val="U.S. Visa List"/>
      <sheetName val="Photos"/>
      <sheetName val="COC's"/>
      <sheetName val="CY-Endorsement"/>
      <sheetName val="GMDSS"/>
      <sheetName val="ContractExp"/>
      <sheetName val="CL-Fujairah"/>
      <sheetName val="CL-Panama-Front"/>
      <sheetName val="CL-Panama-back"/>
      <sheetName val="GenDec-Form1 Dep"/>
      <sheetName val="StoreL-provision only"/>
      <sheetName val="StoreL-Form3 (2)"/>
      <sheetName val="PassengerEffects"/>
      <sheetName val="CrewL-Form5 Passport Dep"/>
      <sheetName val="CrewL-Form5 PassportExp Arr"/>
      <sheetName val="CrewL-Form5 PassportExp Dep"/>
      <sheetName val="CrewL-Form5 Passport SB"/>
      <sheetName val="CrewL-Form5 Passport WD usVISA"/>
      <sheetName val="CrewL-Form5 NatSRB Arr"/>
      <sheetName val="CrewL-Form5 NatSRB Dep"/>
      <sheetName val="CrewL-Form5 CYSRB Arr"/>
      <sheetName val="CrewL-Form5 CYSRB Dep"/>
      <sheetName val="PsgrL-Form6 Arr"/>
      <sheetName val="DangGoodMan-Form7 Old"/>
      <sheetName val="CargoManifest (2)"/>
      <sheetName val="CargoManifest"/>
      <sheetName val="DecHealth-Front"/>
      <sheetName val="DecHealth-Back"/>
      <sheetName val="Vaccine (2)"/>
      <sheetName val="CrewMoneyDec BF"/>
      <sheetName val="ShipsMoneyDec Arr"/>
      <sheetName val="ShipsMoneyDec Dep"/>
      <sheetName val="ShipsProps"/>
      <sheetName val="Pyrotech"/>
      <sheetName val="PortofCall w security level"/>
      <sheetName val="CrewMedi"/>
      <sheetName val="CrewMedi (2)"/>
      <sheetName val="NIL-List"/>
      <sheetName val="AnimalL"/>
      <sheetName val="StowawayL"/>
      <sheetName val="MailL"/>
      <sheetName val="KrooBoyL"/>
      <sheetName val="SparePartsList"/>
      <sheetName val="CrewListRussia"/>
      <sheetName val="PassngrListRussia"/>
      <sheetName val="Kenya Gen Dec"/>
      <sheetName val="Kenya Parcel List"/>
      <sheetName val="Italian Crew List"/>
      <sheetName val="Italian Crew Effects"/>
      <sheetName val="Italian Store List"/>
      <sheetName val="Sheet1"/>
      <sheetName val="CrewList ARR"/>
      <sheetName val="Passgr List IMO"/>
      <sheetName val="DangGoodMan-Form7 New"/>
    </sheetNames>
    <sheetDataSet>
      <sheetData sheetId="0">
        <row r="3">
          <cell r="E3" t="str">
            <v>MANDATORY</v>
          </cell>
        </row>
        <row r="11">
          <cell r="E11" t="str">
            <v xml:space="preserve">Optional, just mandatory if the protection procedures of the SSP were not taken during any ship/ship activity.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DATA"/>
      <sheetName val="DATA 2"/>
      <sheetName val="I418 Page 1"/>
      <sheetName val="I418 Page 2"/>
      <sheetName val="data3"/>
      <sheetName val="data3 (2)"/>
      <sheetName val="data3 (3)"/>
      <sheetName val="Shipstore"/>
      <sheetName val="Creweffects"/>
      <sheetName val="PARTICULARS"/>
      <sheetName val="PLEIADES CREW LIST"/>
      <sheetName val="PLEIADES CREW LIST BACK"/>
      <sheetName val="USA CREW LIST 1"/>
      <sheetName val="USA CREW LIST 2"/>
      <sheetName val="USA CREW LIST BACK"/>
      <sheetName val="USA PASSAGER LIST"/>
      <sheetName val="USA PASSAGER LIST 2"/>
      <sheetName val="USA CREW EFFECTS DECL 1"/>
      <sheetName val="USA CREW EFFECTS DECL 2"/>
      <sheetName val="USA SHIPS STORE LIST"/>
      <sheetName val="USA GENERAL DECLARATION"/>
      <sheetName val="CARGO DECLARATION"/>
      <sheetName val="MASTER'S OATH"/>
      <sheetName val="PERSONAL DECLARATION"/>
      <sheetName val="PERSONAL DECLARATION (2)"/>
      <sheetName val="APPLICATION FOR USA VISA"/>
      <sheetName val="APPLICATION FOR USA VISA BACK"/>
      <sheetName val="NARCOTICS LIST"/>
      <sheetName val="CREW LIST"/>
      <sheetName val="PASSENGER LIST2"/>
      <sheetName val="SHIP'S STORE LIST"/>
      <sheetName val="CREW EFFECTS DECLARATION"/>
      <sheetName val="CREW EFFECTS DECLARATION 2"/>
      <sheetName val="VACCINATION"/>
      <sheetName val="GENERAL DECLARATION"/>
      <sheetName val="STOWAWAYS LIST"/>
      <sheetName val="PASSENGER LIST"/>
      <sheetName val="NIL LIST"/>
      <sheetName val="PORT OF CALL"/>
      <sheetName val="DECLARATION OF HEALTH"/>
      <sheetName val="DECLARATION OF HEALTH BACK"/>
      <sheetName val="ARMS LIST"/>
      <sheetName val="SHIP'S EQUIPMENT"/>
      <sheetName val="SHIP'S CURRENCY DECLARATION"/>
      <sheetName val="MONEY LIST"/>
      <sheetName val="PANAMA CREW LIST"/>
      <sheetName val="PANAMA CREW LIST BACK"/>
      <sheetName val="COVENAS CREW LIST"/>
      <sheetName val="CANADA CREW DECLARATION"/>
      <sheetName val="CANADA SHIP'S STORE LIST"/>
      <sheetName val="VIDEO TAPES TRAINING"/>
      <sheetName val="Module3"/>
      <sheetName val="Module4"/>
      <sheetName val="Module7"/>
      <sheetName val="Module8"/>
      <sheetName val="Module9"/>
      <sheetName val="Module12"/>
      <sheetName val="Module13"/>
      <sheetName val="Module14"/>
      <sheetName val="Module17"/>
      <sheetName val="Module18"/>
      <sheetName val="Module19"/>
      <sheetName val="Module1"/>
      <sheetName val="Module2"/>
      <sheetName val="Module5"/>
      <sheetName val="Module6"/>
      <sheetName val="Module10"/>
      <sheetName val="Module11"/>
      <sheetName val="Module15"/>
      <sheetName val="Module16"/>
      <sheetName val="Module20"/>
      <sheetName val="Module21"/>
      <sheetName val="Module22"/>
      <sheetName val="Module23"/>
      <sheetName val="Module24"/>
      <sheetName val="Module25"/>
      <sheetName val="Module26"/>
      <sheetName val="Module27"/>
      <sheetName val="Module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CREW"/>
      <sheetName val="Crew Declaration"/>
      <sheetName val="UK DECL p1&amp;3"/>
      <sheetName val="Crew Effects"/>
      <sheetName val="Crew List"/>
      <sheetName val="Form Index"/>
      <sheetName val="AG"/>
      <sheetName val="Greek Crew List "/>
      <sheetName val="UK MASTER DECL 1"/>
      <sheetName val="GENERAL DECL"/>
      <sheetName val="General Decl."/>
      <sheetName val="port_call"/>
      <sheetName val="IMO Health Decl"/>
      <sheetName val="CT-106 (1)"/>
      <sheetName val="Cr. List "/>
      <sheetName val="Pass. List"/>
      <sheetName val="SHIP PARTICULARS"/>
      <sheetName val="CF-1302"/>
      <sheetName val="CARGO DECL"/>
      <sheetName val="SHIP STORES"/>
      <sheetName val="Ship Decl.1"/>
      <sheetName val="Ship  Declaration "/>
      <sheetName val="ARONIS PORT DATA"/>
      <sheetName val="Canada cl"/>
      <sheetName val="Canada Rev"/>
      <sheetName val="Arms_Plants"/>
      <sheetName val="UK MASTER DECL 2"/>
      <sheetName val="IMO PASS"/>
      <sheetName val="CT-106 (2)"/>
      <sheetName val="Visa"/>
      <sheetName val="UK in p2"/>
      <sheetName val="UK in p4"/>
      <sheetName val="UK out p2"/>
      <sheetName val="UK out p4"/>
      <sheetName val="Money List"/>
      <sheetName val="Narcotics"/>
      <sheetName val="Ship Decl.2"/>
      <sheetName val="I-418 (2)"/>
      <sheetName val="Vaccination List"/>
      <sheetName val="Master's  Oath"/>
      <sheetName val="Panama cr. list"/>
      <sheetName val="PC-1 (2)"/>
      <sheetName val="Animals"/>
      <sheetName val="GENMACRO"/>
    </sheetNames>
    <sheetDataSet>
      <sheetData sheetId="0">
        <row r="65">
          <cell r="B65">
            <v>24</v>
          </cell>
        </row>
        <row r="67">
          <cell r="B6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G1" t="str">
            <v>PIRAEUS</v>
          </cell>
        </row>
      </sheetData>
      <sheetData sheetId="12"/>
      <sheetData sheetId="13"/>
      <sheetData sheetId="14"/>
      <sheetData sheetId="15"/>
      <sheetData sheetId="16">
        <row r="3">
          <cell r="B3" t="str">
            <v>M/T  CHEMTRANS  SUN</v>
          </cell>
        </row>
        <row r="5">
          <cell r="D5" t="str">
            <v>LONG  BEACH</v>
          </cell>
        </row>
        <row r="7">
          <cell r="D7">
            <v>38290</v>
          </cell>
        </row>
        <row r="9">
          <cell r="D9" t="str">
            <v>Robin Maritime Agencies, LLC</v>
          </cell>
        </row>
        <row r="11">
          <cell r="D11" t="str">
            <v>LONG  BEACH</v>
          </cell>
        </row>
        <row r="12">
          <cell r="D12" t="str">
            <v>CA   USA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CREW"/>
      <sheetName val="Example"/>
      <sheetName val="ID_Document codes"/>
      <sheetName val="Country codes"/>
      <sheetName val="Duty codes"/>
    </sheetNames>
    <sheetDataSet>
      <sheetData sheetId="0"/>
      <sheetData sheetId="1"/>
      <sheetData sheetId="2">
        <row r="2">
          <cell r="A2" t="str">
            <v>MusterBook</v>
          </cell>
        </row>
      </sheetData>
      <sheetData sheetId="3">
        <row r="2">
          <cell r="B2" t="str">
            <v>AD</v>
          </cell>
        </row>
        <row r="3">
          <cell r="B3" t="str">
            <v>AE</v>
          </cell>
        </row>
        <row r="4">
          <cell r="B4" t="str">
            <v>AF</v>
          </cell>
        </row>
        <row r="5">
          <cell r="B5" t="str">
            <v>AG</v>
          </cell>
        </row>
        <row r="6">
          <cell r="B6" t="str">
            <v>AI</v>
          </cell>
        </row>
        <row r="7">
          <cell r="B7" t="str">
            <v>AL</v>
          </cell>
        </row>
        <row r="8">
          <cell r="B8" t="str">
            <v>AM</v>
          </cell>
        </row>
        <row r="9">
          <cell r="B9" t="str">
            <v>AO</v>
          </cell>
        </row>
        <row r="10">
          <cell r="B10" t="str">
            <v>AQ</v>
          </cell>
        </row>
        <row r="11">
          <cell r="B11" t="str">
            <v>AR</v>
          </cell>
        </row>
        <row r="12">
          <cell r="B12" t="str">
            <v>AS</v>
          </cell>
        </row>
        <row r="13">
          <cell r="B13" t="str">
            <v>AT</v>
          </cell>
        </row>
        <row r="14">
          <cell r="B14" t="str">
            <v>AU</v>
          </cell>
        </row>
        <row r="15">
          <cell r="B15" t="str">
            <v>AW</v>
          </cell>
        </row>
        <row r="16">
          <cell r="B16" t="str">
            <v>AX</v>
          </cell>
        </row>
        <row r="17">
          <cell r="B17" t="str">
            <v>AZ</v>
          </cell>
        </row>
        <row r="18">
          <cell r="B18" t="str">
            <v>BA</v>
          </cell>
        </row>
        <row r="19">
          <cell r="B19" t="str">
            <v>BB</v>
          </cell>
        </row>
        <row r="20">
          <cell r="B20" t="str">
            <v>BD</v>
          </cell>
        </row>
        <row r="21">
          <cell r="B21" t="str">
            <v>BE</v>
          </cell>
        </row>
        <row r="22">
          <cell r="B22" t="str">
            <v>BF</v>
          </cell>
        </row>
        <row r="23">
          <cell r="B23" t="str">
            <v>BG</v>
          </cell>
        </row>
        <row r="24">
          <cell r="B24" t="str">
            <v>BH</v>
          </cell>
        </row>
        <row r="25">
          <cell r="B25" t="str">
            <v>BI</v>
          </cell>
        </row>
        <row r="26">
          <cell r="B26" t="str">
            <v>BJ</v>
          </cell>
        </row>
        <row r="27">
          <cell r="B27" t="str">
            <v>BL</v>
          </cell>
        </row>
        <row r="28">
          <cell r="B28" t="str">
            <v>BM</v>
          </cell>
        </row>
        <row r="29">
          <cell r="B29" t="str">
            <v>BN</v>
          </cell>
        </row>
        <row r="30">
          <cell r="B30" t="str">
            <v>BO</v>
          </cell>
        </row>
        <row r="31">
          <cell r="B31" t="str">
            <v>BQ</v>
          </cell>
        </row>
        <row r="32">
          <cell r="B32" t="str">
            <v>BR</v>
          </cell>
        </row>
        <row r="33">
          <cell r="B33" t="str">
            <v>BS</v>
          </cell>
        </row>
        <row r="34">
          <cell r="B34" t="str">
            <v>BT</v>
          </cell>
        </row>
        <row r="35">
          <cell r="B35" t="str">
            <v>BV</v>
          </cell>
        </row>
        <row r="36">
          <cell r="B36" t="str">
            <v>BW</v>
          </cell>
        </row>
        <row r="37">
          <cell r="B37" t="str">
            <v>BY</v>
          </cell>
        </row>
        <row r="38">
          <cell r="B38" t="str">
            <v>BZ</v>
          </cell>
        </row>
        <row r="39">
          <cell r="B39" t="str">
            <v>CA</v>
          </cell>
        </row>
        <row r="40">
          <cell r="B40" t="str">
            <v>CC</v>
          </cell>
        </row>
        <row r="41">
          <cell r="B41" t="str">
            <v>CD</v>
          </cell>
        </row>
        <row r="42">
          <cell r="B42" t="str">
            <v>CF</v>
          </cell>
        </row>
        <row r="43">
          <cell r="B43" t="str">
            <v>CG</v>
          </cell>
        </row>
        <row r="44">
          <cell r="B44" t="str">
            <v>CH</v>
          </cell>
        </row>
        <row r="45">
          <cell r="B45" t="str">
            <v>CI</v>
          </cell>
        </row>
        <row r="46">
          <cell r="B46" t="str">
            <v>CK</v>
          </cell>
        </row>
        <row r="47">
          <cell r="B47" t="str">
            <v>CL</v>
          </cell>
        </row>
        <row r="48">
          <cell r="B48" t="str">
            <v>CM</v>
          </cell>
        </row>
        <row r="49">
          <cell r="B49" t="str">
            <v>CN</v>
          </cell>
        </row>
        <row r="50">
          <cell r="B50" t="str">
            <v>CO</v>
          </cell>
        </row>
        <row r="51">
          <cell r="B51" t="str">
            <v>CR</v>
          </cell>
        </row>
        <row r="52">
          <cell r="B52" t="str">
            <v>CU</v>
          </cell>
        </row>
        <row r="53">
          <cell r="B53" t="str">
            <v>CV</v>
          </cell>
        </row>
        <row r="54">
          <cell r="B54" t="str">
            <v>CW</v>
          </cell>
        </row>
        <row r="55">
          <cell r="B55" t="str">
            <v>CX</v>
          </cell>
        </row>
        <row r="56">
          <cell r="B56" t="str">
            <v>CY</v>
          </cell>
        </row>
        <row r="57">
          <cell r="B57" t="str">
            <v>CZ</v>
          </cell>
        </row>
        <row r="58">
          <cell r="B58" t="str">
            <v>DE</v>
          </cell>
        </row>
        <row r="59">
          <cell r="B59" t="str">
            <v>DJ</v>
          </cell>
        </row>
        <row r="60">
          <cell r="B60" t="str">
            <v>DK</v>
          </cell>
        </row>
        <row r="61">
          <cell r="B61" t="str">
            <v>DM</v>
          </cell>
        </row>
        <row r="62">
          <cell r="B62" t="str">
            <v>DO</v>
          </cell>
        </row>
        <row r="63">
          <cell r="B63" t="str">
            <v>DZ</v>
          </cell>
        </row>
        <row r="64">
          <cell r="B64" t="str">
            <v>EC</v>
          </cell>
        </row>
        <row r="65">
          <cell r="B65" t="str">
            <v>EE</v>
          </cell>
        </row>
        <row r="66">
          <cell r="B66" t="str">
            <v>EG</v>
          </cell>
        </row>
        <row r="67">
          <cell r="B67" t="str">
            <v>EH</v>
          </cell>
        </row>
        <row r="68">
          <cell r="B68" t="str">
            <v>ER</v>
          </cell>
        </row>
        <row r="69">
          <cell r="B69" t="str">
            <v>ES</v>
          </cell>
        </row>
        <row r="70">
          <cell r="B70" t="str">
            <v>ET</v>
          </cell>
        </row>
        <row r="71">
          <cell r="B71" t="str">
            <v>FI</v>
          </cell>
        </row>
        <row r="72">
          <cell r="B72" t="str">
            <v>FJ</v>
          </cell>
        </row>
        <row r="73">
          <cell r="B73" t="str">
            <v>FK</v>
          </cell>
        </row>
        <row r="74">
          <cell r="B74" t="str">
            <v>FM</v>
          </cell>
        </row>
        <row r="75">
          <cell r="B75" t="str">
            <v>FO</v>
          </cell>
        </row>
        <row r="76">
          <cell r="B76" t="str">
            <v>FR</v>
          </cell>
        </row>
        <row r="77">
          <cell r="B77" t="str">
            <v>GA</v>
          </cell>
        </row>
        <row r="78">
          <cell r="B78" t="str">
            <v>GB</v>
          </cell>
        </row>
        <row r="79">
          <cell r="B79" t="str">
            <v>GD</v>
          </cell>
        </row>
        <row r="80">
          <cell r="B80" t="str">
            <v>GE</v>
          </cell>
        </row>
        <row r="81">
          <cell r="B81" t="str">
            <v>GF</v>
          </cell>
        </row>
        <row r="82">
          <cell r="B82" t="str">
            <v>GG</v>
          </cell>
        </row>
        <row r="83">
          <cell r="B83" t="str">
            <v>GH</v>
          </cell>
        </row>
        <row r="84">
          <cell r="B84" t="str">
            <v>GI</v>
          </cell>
        </row>
        <row r="85">
          <cell r="B85" t="str">
            <v>GL</v>
          </cell>
        </row>
        <row r="86">
          <cell r="B86" t="str">
            <v>GM</v>
          </cell>
        </row>
        <row r="87">
          <cell r="B87" t="str">
            <v>GN</v>
          </cell>
        </row>
        <row r="88">
          <cell r="B88" t="str">
            <v>GP</v>
          </cell>
        </row>
        <row r="89">
          <cell r="B89" t="str">
            <v>GQ</v>
          </cell>
        </row>
        <row r="90">
          <cell r="B90" t="str">
            <v>GR</v>
          </cell>
        </row>
        <row r="91">
          <cell r="B91" t="str">
            <v>GS</v>
          </cell>
        </row>
        <row r="92">
          <cell r="B92" t="str">
            <v>GT</v>
          </cell>
        </row>
        <row r="93">
          <cell r="B93" t="str">
            <v>GU</v>
          </cell>
        </row>
        <row r="94">
          <cell r="B94" t="str">
            <v>GW</v>
          </cell>
        </row>
        <row r="95">
          <cell r="B95" t="str">
            <v>GY</v>
          </cell>
        </row>
        <row r="96">
          <cell r="B96" t="str">
            <v>HK</v>
          </cell>
        </row>
        <row r="97">
          <cell r="B97" t="str">
            <v>HM</v>
          </cell>
        </row>
        <row r="98">
          <cell r="B98" t="str">
            <v>HN</v>
          </cell>
        </row>
        <row r="99">
          <cell r="B99" t="str">
            <v>HR</v>
          </cell>
        </row>
        <row r="100">
          <cell r="B100" t="str">
            <v>HT</v>
          </cell>
        </row>
        <row r="101">
          <cell r="B101" t="str">
            <v>HU</v>
          </cell>
        </row>
        <row r="102">
          <cell r="B102" t="str">
            <v>ID</v>
          </cell>
        </row>
        <row r="103">
          <cell r="B103" t="str">
            <v>IE</v>
          </cell>
        </row>
        <row r="104">
          <cell r="B104" t="str">
            <v>IL</v>
          </cell>
        </row>
        <row r="105">
          <cell r="B105" t="str">
            <v>IM</v>
          </cell>
        </row>
        <row r="106">
          <cell r="B106" t="str">
            <v>IN</v>
          </cell>
        </row>
        <row r="107">
          <cell r="B107" t="str">
            <v>IO</v>
          </cell>
        </row>
        <row r="108">
          <cell r="B108" t="str">
            <v>IQ</v>
          </cell>
        </row>
        <row r="109">
          <cell r="B109" t="str">
            <v>IR</v>
          </cell>
        </row>
        <row r="110">
          <cell r="B110" t="str">
            <v>IS</v>
          </cell>
        </row>
        <row r="111">
          <cell r="B111" t="str">
            <v>IT</v>
          </cell>
        </row>
        <row r="112">
          <cell r="B112" t="str">
            <v>JE</v>
          </cell>
        </row>
        <row r="113">
          <cell r="B113" t="str">
            <v>JM</v>
          </cell>
        </row>
        <row r="114">
          <cell r="B114" t="str">
            <v>JO</v>
          </cell>
        </row>
        <row r="115">
          <cell r="B115" t="str">
            <v>JP</v>
          </cell>
        </row>
        <row r="116">
          <cell r="B116" t="str">
            <v>KE</v>
          </cell>
        </row>
        <row r="117">
          <cell r="B117" t="str">
            <v>KG</v>
          </cell>
        </row>
        <row r="118">
          <cell r="B118" t="str">
            <v>KH</v>
          </cell>
        </row>
        <row r="119">
          <cell r="B119" t="str">
            <v>KI</v>
          </cell>
        </row>
        <row r="120">
          <cell r="B120" t="str">
            <v>KM</v>
          </cell>
        </row>
        <row r="121">
          <cell r="B121" t="str">
            <v>KN</v>
          </cell>
        </row>
        <row r="122">
          <cell r="B122" t="str">
            <v>KP</v>
          </cell>
        </row>
        <row r="123">
          <cell r="B123" t="str">
            <v>KR</v>
          </cell>
        </row>
        <row r="124">
          <cell r="B124" t="str">
            <v>KW</v>
          </cell>
        </row>
        <row r="125">
          <cell r="B125" t="str">
            <v>KY</v>
          </cell>
        </row>
        <row r="126">
          <cell r="B126" t="str">
            <v>KZ</v>
          </cell>
        </row>
        <row r="127">
          <cell r="B127" t="str">
            <v>LA</v>
          </cell>
        </row>
        <row r="128">
          <cell r="B128" t="str">
            <v>LB</v>
          </cell>
        </row>
        <row r="129">
          <cell r="B129" t="str">
            <v>LC</v>
          </cell>
        </row>
        <row r="130">
          <cell r="B130" t="str">
            <v>LI</v>
          </cell>
        </row>
        <row r="131">
          <cell r="B131" t="str">
            <v>LK</v>
          </cell>
        </row>
        <row r="132">
          <cell r="B132" t="str">
            <v>LR</v>
          </cell>
        </row>
        <row r="133">
          <cell r="B133" t="str">
            <v>LS</v>
          </cell>
        </row>
        <row r="134">
          <cell r="B134" t="str">
            <v>LT</v>
          </cell>
        </row>
        <row r="135">
          <cell r="B135" t="str">
            <v>LU</v>
          </cell>
        </row>
        <row r="136">
          <cell r="B136" t="str">
            <v>LV</v>
          </cell>
        </row>
        <row r="137">
          <cell r="B137" t="str">
            <v>LY</v>
          </cell>
        </row>
        <row r="138">
          <cell r="B138" t="str">
            <v>MA</v>
          </cell>
        </row>
        <row r="139">
          <cell r="B139" t="str">
            <v>MC</v>
          </cell>
        </row>
        <row r="140">
          <cell r="B140" t="str">
            <v>MD</v>
          </cell>
        </row>
        <row r="141">
          <cell r="B141" t="str">
            <v>ME</v>
          </cell>
        </row>
        <row r="142">
          <cell r="B142" t="str">
            <v>MF</v>
          </cell>
        </row>
        <row r="143">
          <cell r="B143" t="str">
            <v>MG</v>
          </cell>
        </row>
        <row r="144">
          <cell r="B144" t="str">
            <v>MH</v>
          </cell>
        </row>
        <row r="145">
          <cell r="B145" t="str">
            <v>MK</v>
          </cell>
        </row>
        <row r="146">
          <cell r="B146" t="str">
            <v>ML</v>
          </cell>
        </row>
        <row r="147">
          <cell r="B147" t="str">
            <v>MM</v>
          </cell>
        </row>
        <row r="148">
          <cell r="B148" t="str">
            <v>MN</v>
          </cell>
        </row>
        <row r="149">
          <cell r="B149" t="str">
            <v>MO</v>
          </cell>
        </row>
        <row r="150">
          <cell r="B150" t="str">
            <v>MP</v>
          </cell>
        </row>
        <row r="151">
          <cell r="B151" t="str">
            <v>MQ</v>
          </cell>
        </row>
        <row r="152">
          <cell r="B152" t="str">
            <v>MR</v>
          </cell>
        </row>
        <row r="153">
          <cell r="B153" t="str">
            <v>MS</v>
          </cell>
        </row>
        <row r="154">
          <cell r="B154" t="str">
            <v>MT</v>
          </cell>
        </row>
        <row r="155">
          <cell r="B155" t="str">
            <v>MU</v>
          </cell>
        </row>
        <row r="156">
          <cell r="B156" t="str">
            <v>MV</v>
          </cell>
        </row>
        <row r="157">
          <cell r="B157" t="str">
            <v>MW</v>
          </cell>
        </row>
        <row r="158">
          <cell r="B158" t="str">
            <v>MX</v>
          </cell>
        </row>
        <row r="159">
          <cell r="B159" t="str">
            <v>MY</v>
          </cell>
        </row>
        <row r="160">
          <cell r="B160" t="str">
            <v>MZ</v>
          </cell>
        </row>
        <row r="161">
          <cell r="B161" t="str">
            <v>NA</v>
          </cell>
        </row>
        <row r="162">
          <cell r="B162" t="str">
            <v>NC</v>
          </cell>
        </row>
        <row r="163">
          <cell r="B163" t="str">
            <v>NE</v>
          </cell>
        </row>
        <row r="164">
          <cell r="B164" t="str">
            <v>NF</v>
          </cell>
        </row>
        <row r="165">
          <cell r="B165" t="str">
            <v>NG</v>
          </cell>
        </row>
        <row r="166">
          <cell r="B166" t="str">
            <v>NI</v>
          </cell>
        </row>
        <row r="167">
          <cell r="B167" t="str">
            <v>NL</v>
          </cell>
        </row>
        <row r="168">
          <cell r="B168" t="str">
            <v>NO</v>
          </cell>
        </row>
        <row r="169">
          <cell r="B169" t="str">
            <v>NP</v>
          </cell>
        </row>
        <row r="170">
          <cell r="B170" t="str">
            <v>NR</v>
          </cell>
        </row>
        <row r="171">
          <cell r="B171" t="str">
            <v>NU</v>
          </cell>
        </row>
        <row r="172">
          <cell r="B172" t="str">
            <v>NZ</v>
          </cell>
        </row>
        <row r="173">
          <cell r="B173" t="str">
            <v>OM</v>
          </cell>
        </row>
        <row r="174">
          <cell r="B174" t="str">
            <v>PA</v>
          </cell>
        </row>
        <row r="175">
          <cell r="B175" t="str">
            <v>PE</v>
          </cell>
        </row>
        <row r="176">
          <cell r="B176" t="str">
            <v>PF</v>
          </cell>
        </row>
        <row r="177">
          <cell r="B177" t="str">
            <v>PG</v>
          </cell>
        </row>
        <row r="178">
          <cell r="B178" t="str">
            <v>PH</v>
          </cell>
        </row>
        <row r="179">
          <cell r="B179" t="str">
            <v>PK</v>
          </cell>
        </row>
        <row r="180">
          <cell r="B180" t="str">
            <v>PL</v>
          </cell>
        </row>
        <row r="181">
          <cell r="B181" t="str">
            <v>PM</v>
          </cell>
        </row>
        <row r="182">
          <cell r="B182" t="str">
            <v>PN</v>
          </cell>
        </row>
        <row r="183">
          <cell r="B183" t="str">
            <v>PR</v>
          </cell>
        </row>
        <row r="184">
          <cell r="B184" t="str">
            <v>PS</v>
          </cell>
        </row>
        <row r="185">
          <cell r="B185" t="str">
            <v>PT</v>
          </cell>
        </row>
        <row r="186">
          <cell r="B186" t="str">
            <v>PW</v>
          </cell>
        </row>
        <row r="187">
          <cell r="B187" t="str">
            <v>PY</v>
          </cell>
        </row>
        <row r="188">
          <cell r="B188" t="str">
            <v>QA</v>
          </cell>
        </row>
        <row r="189">
          <cell r="B189" t="str">
            <v>RE</v>
          </cell>
        </row>
        <row r="190">
          <cell r="B190" t="str">
            <v>RO</v>
          </cell>
        </row>
        <row r="191">
          <cell r="B191" t="str">
            <v>RS</v>
          </cell>
        </row>
        <row r="192">
          <cell r="B192" t="str">
            <v>RU</v>
          </cell>
        </row>
        <row r="193">
          <cell r="B193" t="str">
            <v>RW</v>
          </cell>
        </row>
        <row r="194">
          <cell r="B194" t="str">
            <v>SA</v>
          </cell>
        </row>
        <row r="195">
          <cell r="B195" t="str">
            <v>SB</v>
          </cell>
        </row>
        <row r="196">
          <cell r="B196" t="str">
            <v>SC</v>
          </cell>
        </row>
        <row r="197">
          <cell r="B197" t="str">
            <v>SD</v>
          </cell>
        </row>
        <row r="198">
          <cell r="B198" t="str">
            <v>SE</v>
          </cell>
        </row>
        <row r="199">
          <cell r="B199" t="str">
            <v>SG</v>
          </cell>
        </row>
        <row r="200">
          <cell r="B200" t="str">
            <v>SH</v>
          </cell>
        </row>
        <row r="201">
          <cell r="B201" t="str">
            <v>SI</v>
          </cell>
        </row>
        <row r="202">
          <cell r="B202" t="str">
            <v>SJ</v>
          </cell>
        </row>
        <row r="203">
          <cell r="B203" t="str">
            <v>SK</v>
          </cell>
        </row>
        <row r="204">
          <cell r="B204" t="str">
            <v>SL</v>
          </cell>
        </row>
        <row r="205">
          <cell r="B205" t="str">
            <v>SM</v>
          </cell>
        </row>
        <row r="206">
          <cell r="B206" t="str">
            <v>SN</v>
          </cell>
        </row>
        <row r="207">
          <cell r="B207" t="str">
            <v>SO</v>
          </cell>
        </row>
        <row r="208">
          <cell r="B208" t="str">
            <v>SR</v>
          </cell>
        </row>
        <row r="209">
          <cell r="B209" t="str">
            <v>SS</v>
          </cell>
        </row>
        <row r="210">
          <cell r="B210" t="str">
            <v>ST</v>
          </cell>
        </row>
        <row r="211">
          <cell r="B211" t="str">
            <v>SV</v>
          </cell>
        </row>
        <row r="212">
          <cell r="B212" t="str">
            <v>SX</v>
          </cell>
        </row>
        <row r="213">
          <cell r="B213" t="str">
            <v>SY</v>
          </cell>
        </row>
        <row r="214">
          <cell r="B214" t="str">
            <v>SZ</v>
          </cell>
        </row>
        <row r="215">
          <cell r="B215" t="str">
            <v>TC</v>
          </cell>
        </row>
        <row r="216">
          <cell r="B216" t="str">
            <v>TD</v>
          </cell>
        </row>
        <row r="217">
          <cell r="B217" t="str">
            <v>TF</v>
          </cell>
        </row>
        <row r="218">
          <cell r="B218" t="str">
            <v>TG</v>
          </cell>
        </row>
        <row r="219">
          <cell r="B219" t="str">
            <v>TH</v>
          </cell>
        </row>
        <row r="220">
          <cell r="B220" t="str">
            <v>TJ</v>
          </cell>
        </row>
        <row r="221">
          <cell r="B221" t="str">
            <v>TK</v>
          </cell>
        </row>
        <row r="222">
          <cell r="B222" t="str">
            <v>TL</v>
          </cell>
        </row>
        <row r="223">
          <cell r="B223" t="str">
            <v>TM</v>
          </cell>
        </row>
        <row r="224">
          <cell r="B224" t="str">
            <v>TN</v>
          </cell>
        </row>
        <row r="225">
          <cell r="B225" t="str">
            <v>TO</v>
          </cell>
        </row>
        <row r="226">
          <cell r="B226" t="str">
            <v>TR</v>
          </cell>
        </row>
        <row r="227">
          <cell r="B227" t="str">
            <v>TT</v>
          </cell>
        </row>
        <row r="228">
          <cell r="B228" t="str">
            <v>TV</v>
          </cell>
        </row>
        <row r="229">
          <cell r="B229" t="str">
            <v>TW</v>
          </cell>
        </row>
        <row r="230">
          <cell r="B230" t="str">
            <v>TZ</v>
          </cell>
        </row>
        <row r="231">
          <cell r="B231" t="str">
            <v>UA</v>
          </cell>
        </row>
        <row r="232">
          <cell r="B232" t="str">
            <v>UG</v>
          </cell>
        </row>
        <row r="233">
          <cell r="B233" t="str">
            <v>UM</v>
          </cell>
        </row>
        <row r="234">
          <cell r="B234" t="str">
            <v>US</v>
          </cell>
        </row>
        <row r="235">
          <cell r="B235" t="str">
            <v>UY</v>
          </cell>
        </row>
        <row r="236">
          <cell r="B236" t="str">
            <v>UZ</v>
          </cell>
        </row>
        <row r="237">
          <cell r="B237" t="str">
            <v>VA</v>
          </cell>
        </row>
        <row r="238">
          <cell r="B238" t="str">
            <v>VC</v>
          </cell>
        </row>
        <row r="239">
          <cell r="B239" t="str">
            <v>VE</v>
          </cell>
        </row>
        <row r="240">
          <cell r="B240" t="str">
            <v>VG</v>
          </cell>
        </row>
        <row r="241">
          <cell r="B241" t="str">
            <v>VI</v>
          </cell>
        </row>
        <row r="242">
          <cell r="B242" t="str">
            <v>VN</v>
          </cell>
        </row>
        <row r="243">
          <cell r="B243" t="str">
            <v>VU</v>
          </cell>
        </row>
        <row r="244">
          <cell r="B244" t="str">
            <v>WF</v>
          </cell>
        </row>
        <row r="245">
          <cell r="B245" t="str">
            <v>WS</v>
          </cell>
        </row>
        <row r="246">
          <cell r="B246" t="str">
            <v>YE</v>
          </cell>
        </row>
        <row r="247">
          <cell r="B247" t="str">
            <v>YT</v>
          </cell>
        </row>
        <row r="248">
          <cell r="B248" t="str">
            <v>ZA</v>
          </cell>
        </row>
        <row r="249">
          <cell r="B249" t="str">
            <v>ZM</v>
          </cell>
        </row>
        <row r="250">
          <cell r="B250" t="str">
            <v>ZW</v>
          </cell>
        </row>
      </sheetData>
      <sheetData sheetId="4">
        <row r="2">
          <cell r="A2" t="str">
            <v>AbleSeaman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w List"/>
      <sheetName val="Crew List dep"/>
      <sheetName val="Crew's Effects"/>
      <sheetName val="DETAILED PEFF"/>
      <sheetName val="Detail store1"/>
      <sheetName val="D-store2"/>
      <sheetName val="D-store3"/>
      <sheetName val="Health "/>
      <sheetName val="General Declaration"/>
      <sheetName val="Vaccination"/>
      <sheetName val="NIL-List"/>
      <sheetName val="Dangerous "/>
      <sheetName val="P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C"/>
      <sheetName val="DB-CREW"/>
      <sheetName val="DB-PAX"/>
      <sheetName val="DB-Ports"/>
      <sheetName val="Port of Call List LAST 10"/>
      <sheetName val="Port of Call List LAST 30"/>
      <sheetName val=" PoC List (200)"/>
      <sheetName val="NOT USE PoC &amp; Itinerary"/>
      <sheetName val="NOT USE PoC_ID-445"/>
      <sheetName val="General Decl"/>
      <sheetName val="Cargo Decl"/>
      <sheetName val="PANS"/>
      <sheetName val="PaxList"/>
      <sheetName val="CrewList 1"/>
      <sheetName val="CrewList 2"/>
      <sheetName val="CrewList 3"/>
      <sheetName val="Visitors List"/>
      <sheetName val="CrewList Blank"/>
      <sheetName val="PoC List TXT"/>
      <sheetName val="Crew List TXT"/>
      <sheetName val="Pax List TXT"/>
      <sheetName val="S.Africa SAMSA"/>
      <sheetName val="MDoH"/>
      <sheetName val="MDoH Att_1"/>
      <sheetName val="MDoH Att_2"/>
      <sheetName val="Vacc."/>
      <sheetName val="Vacc.Pax"/>
      <sheetName val="Narcotics"/>
      <sheetName val="Nil List"/>
      <sheetName val="Ship's stores "/>
      <sheetName val="Bonded"/>
      <sheetName val="Provision"/>
      <sheetName val="Deck Store"/>
      <sheetName val="Acc.Equip.List-Not USED"/>
      <sheetName val="NOT USED"/>
      <sheetName val="Crew Effects Decl"/>
      <sheetName val="Crew Currency Decl"/>
      <sheetName val="Pax Effects Decl"/>
      <sheetName val="PE"/>
      <sheetName val="Crew Change"/>
      <sheetName val="Sign-On"/>
      <sheetName val="Sign-Off"/>
      <sheetName val="CrewCert.CL"/>
      <sheetName val="EntireCrewList"/>
      <sheetName val="Ships Certificates"/>
      <sheetName val="Ships Particulars"/>
      <sheetName val="ShipCert-Linked"/>
      <sheetName val="DB Crew (Mailings)"/>
      <sheetName val="DB PoC (Mailings)"/>
      <sheetName val="Country codes"/>
      <sheetName val="STCW"/>
      <sheetName val="IMO_FAL_BANK - Flex Resolute 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0">
          <cell r="Z10" t="str">
            <v/>
          </cell>
        </row>
      </sheetData>
      <sheetData sheetId="44"/>
      <sheetData sheetId="45">
        <row r="3">
          <cell r="M3" t="str">
            <v>Marshall Islands</v>
          </cell>
        </row>
      </sheetData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C"/>
      <sheetName val="DB-CREW"/>
      <sheetName val="DB-PAX"/>
      <sheetName val="DB-Ports"/>
      <sheetName val="EntireCrewList"/>
      <sheetName val="Port of Call List LAST 10"/>
      <sheetName val="Port of Call List LAST 30"/>
      <sheetName val=" PoC List (200)"/>
      <sheetName val="NOT USE PoC_ID-445"/>
      <sheetName val="General Decl"/>
      <sheetName val="Cargo Decl"/>
      <sheetName val="PANS"/>
      <sheetName val="PaxList"/>
      <sheetName val="CrewList 1"/>
      <sheetName val="CrewList 2"/>
      <sheetName val="CrewList 3"/>
      <sheetName val="CrewList 4"/>
      <sheetName val="Visitors List"/>
      <sheetName val="CrewList Blank"/>
      <sheetName val="PoC List TXT"/>
      <sheetName val="Crew List TXT"/>
      <sheetName val="Pax List TXT"/>
      <sheetName val="S.Africa SAMSA"/>
      <sheetName val="MDoH"/>
      <sheetName val="MDoH Att_1"/>
      <sheetName val="MDoH Att_2"/>
      <sheetName val="Vacc. Yellow Fever"/>
      <sheetName val="Vacc. COVID-19"/>
      <sheetName val="Vacc.Pax"/>
      <sheetName val="Narcotics"/>
      <sheetName val="Nil List"/>
      <sheetName val="Ship's stores "/>
      <sheetName val="Bonded"/>
      <sheetName val="Provision"/>
      <sheetName val="Deck Store"/>
      <sheetName val="Acc.Equip.List-Not USED"/>
      <sheetName val="NOT USED"/>
      <sheetName val="Crew Effects Decl"/>
      <sheetName val="Crew Currency Decl"/>
      <sheetName val="Pax Effects Decl"/>
      <sheetName val="PE"/>
      <sheetName val="Crew Change"/>
      <sheetName val="Sign-On"/>
      <sheetName val="Sign-Off"/>
      <sheetName val="CrewCert.CL"/>
      <sheetName val="Ships Certificates"/>
      <sheetName val="Ships Particulars"/>
      <sheetName val="ShipCert-Linked"/>
      <sheetName val="DB Crew (Mailings)"/>
      <sheetName val="DB PoC (Mailings)"/>
      <sheetName val="Country codes"/>
      <sheetName val="STCW"/>
      <sheetName val="ISO 3166 1 A3"/>
      <sheetName val="US V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OPROG"/>
    </sheetNames>
    <definedNames>
      <definedName name="Macro14"/>
      <definedName name="Macro31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"/>
      <sheetName val="SPORE CREW LIST"/>
      <sheetName val="HONG KONG CREW LIST (2)"/>
      <sheetName val="HONG KONG CREW LIST"/>
      <sheetName val="CREW MONTHLY WAGES"/>
      <sheetName val="passport CREW LIST IMO "/>
      <sheetName val="SBK CREW LIST IMO"/>
      <sheetName val="master declaration"/>
    </sheetNames>
    <sheetDataSet>
      <sheetData sheetId="0">
        <row r="1">
          <cell r="A1" t="str">
            <v>DATA FROM CREW MEMBER PASSPORT</v>
          </cell>
        </row>
        <row r="2">
          <cell r="A2" t="str">
            <v>No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 t="str">
            <v>Date and signature by Master :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Blank Form"/>
      <sheetName val="DECK CREW"/>
      <sheetName val="ENGINE CREW"/>
      <sheetName val="Vessel Sea Service"/>
    </sheetNames>
    <sheetDataSet>
      <sheetData sheetId="0"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4</v>
          </cell>
        </row>
        <row r="15">
          <cell r="A15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2">
          <cell r="A22">
            <v>12</v>
          </cell>
        </row>
        <row r="23">
          <cell r="A23">
            <v>13</v>
          </cell>
        </row>
        <row r="24">
          <cell r="A24">
            <v>14</v>
          </cell>
        </row>
        <row r="25">
          <cell r="A25">
            <v>15</v>
          </cell>
        </row>
        <row r="26">
          <cell r="A26">
            <v>16</v>
          </cell>
        </row>
        <row r="27">
          <cell r="A27">
            <v>17</v>
          </cell>
        </row>
        <row r="28">
          <cell r="A28">
            <v>18</v>
          </cell>
        </row>
        <row r="29">
          <cell r="A29">
            <v>19</v>
          </cell>
        </row>
        <row r="30">
          <cell r="A30">
            <v>20</v>
          </cell>
        </row>
        <row r="31">
          <cell r="A31">
            <v>21</v>
          </cell>
        </row>
        <row r="32">
          <cell r="A32">
            <v>22</v>
          </cell>
        </row>
        <row r="33">
          <cell r="A33">
            <v>23</v>
          </cell>
        </row>
        <row r="34">
          <cell r="A34">
            <v>24</v>
          </cell>
        </row>
        <row r="35">
          <cell r="A35">
            <v>25</v>
          </cell>
        </row>
        <row r="36">
          <cell r="A36">
            <v>26</v>
          </cell>
        </row>
        <row r="37">
          <cell r="A37">
            <v>27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Guide"/>
      <sheetName val="Page 1"/>
      <sheetName val="Page 2"/>
      <sheetName val="Page 3"/>
      <sheetName val="835 W"/>
      <sheetName val="Voyagedata"/>
      <sheetName val="Statistics"/>
      <sheetName val="Arrival &amp; Departure"/>
      <sheetName val="Sheet1"/>
    </sheetNames>
    <sheetDataSet>
      <sheetData sheetId="0" refreshError="1"/>
      <sheetData sheetId="1">
        <row r="8">
          <cell r="B8">
            <v>43244</v>
          </cell>
          <cell r="C8" t="str">
            <v>Arr. PUS</v>
          </cell>
          <cell r="E8">
            <v>0.57500000000000007</v>
          </cell>
          <cell r="F8">
            <v>1.9</v>
          </cell>
          <cell r="L8">
            <v>0</v>
          </cell>
          <cell r="M8">
            <v>0</v>
          </cell>
          <cell r="S8">
            <v>1.4</v>
          </cell>
          <cell r="V8">
            <v>1</v>
          </cell>
          <cell r="Y8">
            <v>7</v>
          </cell>
          <cell r="AA8">
            <v>3.4</v>
          </cell>
          <cell r="AE8">
            <v>43244</v>
          </cell>
          <cell r="AF8">
            <v>0.57500000000000007</v>
          </cell>
          <cell r="AG8">
            <v>2743.8</v>
          </cell>
          <cell r="AH8">
            <v>0</v>
          </cell>
          <cell r="AI8">
            <v>389.7</v>
          </cell>
          <cell r="AJ8">
            <v>41924</v>
          </cell>
          <cell r="AK8">
            <v>25336</v>
          </cell>
          <cell r="AL8">
            <v>70500</v>
          </cell>
          <cell r="AN8">
            <v>10300</v>
          </cell>
        </row>
        <row r="9">
          <cell r="B9">
            <v>43245</v>
          </cell>
          <cell r="C9" t="str">
            <v>dep. Bus</v>
          </cell>
          <cell r="E9">
            <v>0.30416666666666664</v>
          </cell>
          <cell r="F9">
            <v>17.5</v>
          </cell>
          <cell r="L9">
            <v>0</v>
          </cell>
          <cell r="M9">
            <v>0</v>
          </cell>
          <cell r="V9">
            <v>4</v>
          </cell>
          <cell r="AA9">
            <v>14.7</v>
          </cell>
          <cell r="AE9">
            <v>43245</v>
          </cell>
          <cell r="AF9">
            <v>0.30416666666666664</v>
          </cell>
          <cell r="AG9">
            <v>2739.3</v>
          </cell>
          <cell r="AH9">
            <v>0</v>
          </cell>
          <cell r="AI9">
            <v>389.7</v>
          </cell>
          <cell r="AJ9">
            <v>41924</v>
          </cell>
          <cell r="AK9">
            <v>25336</v>
          </cell>
          <cell r="AL9">
            <v>70500</v>
          </cell>
          <cell r="AN9">
            <v>10300</v>
          </cell>
        </row>
        <row r="10">
          <cell r="B10">
            <v>43245</v>
          </cell>
          <cell r="E10">
            <v>0.5</v>
          </cell>
          <cell r="F10">
            <v>4.7000000000000011</v>
          </cell>
          <cell r="L10">
            <v>0</v>
          </cell>
          <cell r="M10">
            <v>0</v>
          </cell>
          <cell r="N10">
            <v>48</v>
          </cell>
          <cell r="S10">
            <v>4.9000000000000004</v>
          </cell>
          <cell r="V10">
            <v>1.7</v>
          </cell>
          <cell r="Y10">
            <v>22.6</v>
          </cell>
          <cell r="AA10">
            <v>6.7</v>
          </cell>
          <cell r="AE10">
            <v>43245</v>
          </cell>
          <cell r="AF10">
            <v>0.5</v>
          </cell>
          <cell r="AG10">
            <v>2732.6000000000004</v>
          </cell>
          <cell r="AH10">
            <v>0</v>
          </cell>
          <cell r="AI10">
            <v>389.7</v>
          </cell>
          <cell r="AJ10">
            <v>41876</v>
          </cell>
          <cell r="AK10">
            <v>25336</v>
          </cell>
          <cell r="AL10">
            <v>70500</v>
          </cell>
          <cell r="AN10">
            <v>10300</v>
          </cell>
        </row>
        <row r="11">
          <cell r="B11">
            <v>43246</v>
          </cell>
          <cell r="E11">
            <v>0.5</v>
          </cell>
          <cell r="F11">
            <v>24</v>
          </cell>
          <cell r="L11">
            <v>0</v>
          </cell>
          <cell r="M11">
            <v>0</v>
          </cell>
          <cell r="N11">
            <v>44.9</v>
          </cell>
          <cell r="S11">
            <v>26.1</v>
          </cell>
          <cell r="V11">
            <v>7.1</v>
          </cell>
          <cell r="Y11">
            <v>132.30000000000001</v>
          </cell>
          <cell r="AA11">
            <v>29</v>
          </cell>
          <cell r="AE11">
            <v>43246</v>
          </cell>
          <cell r="AF11">
            <v>0.5</v>
          </cell>
          <cell r="AG11">
            <v>2699.2000000000007</v>
          </cell>
          <cell r="AH11">
            <v>0</v>
          </cell>
          <cell r="AI11">
            <v>389.7</v>
          </cell>
          <cell r="AJ11">
            <v>41702</v>
          </cell>
          <cell r="AK11">
            <v>25336</v>
          </cell>
          <cell r="AL11">
            <v>70500</v>
          </cell>
          <cell r="AN11">
            <v>10300</v>
          </cell>
        </row>
        <row r="12">
          <cell r="B12">
            <v>43247</v>
          </cell>
          <cell r="C12" t="str">
            <v>arr. Anchorage</v>
          </cell>
          <cell r="E12">
            <v>0.22083333333333333</v>
          </cell>
          <cell r="F12">
            <v>17.3</v>
          </cell>
          <cell r="L12">
            <v>0</v>
          </cell>
          <cell r="M12">
            <v>0</v>
          </cell>
          <cell r="N12">
            <v>31.8</v>
          </cell>
          <cell r="S12">
            <v>13</v>
          </cell>
          <cell r="V12">
            <v>5</v>
          </cell>
          <cell r="Y12">
            <v>46.8</v>
          </cell>
          <cell r="AA12">
            <v>20</v>
          </cell>
          <cell r="AE12">
            <v>43247</v>
          </cell>
          <cell r="AF12">
            <v>0.22083333333333333</v>
          </cell>
          <cell r="AG12">
            <v>2680.8000000000006</v>
          </cell>
          <cell r="AH12">
            <v>0</v>
          </cell>
          <cell r="AI12">
            <v>389.7</v>
          </cell>
          <cell r="AJ12">
            <v>41612</v>
          </cell>
          <cell r="AK12">
            <v>25336</v>
          </cell>
          <cell r="AL12">
            <v>70500</v>
          </cell>
          <cell r="AN12">
            <v>10300</v>
          </cell>
        </row>
        <row r="13">
          <cell r="B13">
            <v>43247</v>
          </cell>
          <cell r="C13" t="str">
            <v>Noon Position</v>
          </cell>
          <cell r="E13">
            <v>0.5</v>
          </cell>
          <cell r="F13">
            <v>6.7</v>
          </cell>
          <cell r="L13">
            <v>0</v>
          </cell>
          <cell r="M13">
            <v>0</v>
          </cell>
          <cell r="V13">
            <v>1.7</v>
          </cell>
          <cell r="AA13">
            <v>6.6</v>
          </cell>
          <cell r="AE13">
            <v>43247</v>
          </cell>
          <cell r="AF13">
            <v>0.5</v>
          </cell>
          <cell r="AG13">
            <v>2678.900000000001</v>
          </cell>
          <cell r="AH13">
            <v>0</v>
          </cell>
          <cell r="AI13">
            <v>389.7</v>
          </cell>
          <cell r="AJ13">
            <v>41612</v>
          </cell>
          <cell r="AK13">
            <v>25336</v>
          </cell>
          <cell r="AL13">
            <v>70500</v>
          </cell>
          <cell r="AN13">
            <v>10300</v>
          </cell>
        </row>
        <row r="14">
          <cell r="B14">
            <v>43247</v>
          </cell>
          <cell r="C14" t="str">
            <v>dep. Anchorage</v>
          </cell>
          <cell r="E14">
            <v>0.53749999999999998</v>
          </cell>
          <cell r="F14">
            <v>0.89999999999999947</v>
          </cell>
          <cell r="L14">
            <v>0</v>
          </cell>
          <cell r="M14">
            <v>0</v>
          </cell>
          <cell r="V14">
            <v>0.3</v>
          </cell>
          <cell r="AA14">
            <v>1.2</v>
          </cell>
          <cell r="AE14">
            <v>43247</v>
          </cell>
          <cell r="AF14">
            <v>0.53749999999999998</v>
          </cell>
          <cell r="AG14">
            <v>2678.5000000000009</v>
          </cell>
          <cell r="AH14">
            <v>0</v>
          </cell>
          <cell r="AI14">
            <v>389.7</v>
          </cell>
          <cell r="AJ14">
            <v>41612</v>
          </cell>
          <cell r="AK14">
            <v>25336</v>
          </cell>
          <cell r="AL14">
            <v>70500</v>
          </cell>
          <cell r="AN14">
            <v>10300</v>
          </cell>
        </row>
        <row r="15">
          <cell r="B15">
            <v>43247</v>
          </cell>
          <cell r="C15" t="str">
            <v>arr. Quingdao</v>
          </cell>
          <cell r="E15">
            <v>0.67499999999999993</v>
          </cell>
          <cell r="F15">
            <v>3.2999999999999989</v>
          </cell>
          <cell r="L15">
            <v>0</v>
          </cell>
          <cell r="M15">
            <v>0</v>
          </cell>
          <cell r="S15">
            <v>1.7</v>
          </cell>
          <cell r="V15">
            <v>1.2</v>
          </cell>
          <cell r="Y15">
            <v>6.5</v>
          </cell>
          <cell r="AA15">
            <v>4.7</v>
          </cell>
          <cell r="AE15">
            <v>43247</v>
          </cell>
          <cell r="AF15">
            <v>0.67499999999999993</v>
          </cell>
          <cell r="AG15">
            <v>2675.5000000000014</v>
          </cell>
          <cell r="AH15">
            <v>0</v>
          </cell>
          <cell r="AI15">
            <v>389.7</v>
          </cell>
          <cell r="AJ15">
            <v>41589</v>
          </cell>
          <cell r="AK15">
            <v>25336</v>
          </cell>
          <cell r="AL15">
            <v>70500</v>
          </cell>
          <cell r="AN15">
            <v>10300</v>
          </cell>
        </row>
        <row r="16">
          <cell r="B16">
            <v>43248</v>
          </cell>
          <cell r="C16" t="str">
            <v>dep. Quingdao</v>
          </cell>
          <cell r="E16">
            <v>0.23333333333333331</v>
          </cell>
          <cell r="F16">
            <v>13.4</v>
          </cell>
          <cell r="L16">
            <v>0</v>
          </cell>
          <cell r="M16">
            <v>0</v>
          </cell>
          <cell r="V16">
            <v>3.3</v>
          </cell>
          <cell r="AA16">
            <v>12.5</v>
          </cell>
          <cell r="AE16">
            <v>43248</v>
          </cell>
          <cell r="AF16">
            <v>0.23333333333333331</v>
          </cell>
          <cell r="AG16">
            <v>2671.8000000000011</v>
          </cell>
          <cell r="AH16">
            <v>0</v>
          </cell>
          <cell r="AI16">
            <v>389.7</v>
          </cell>
          <cell r="AJ16">
            <v>41589</v>
          </cell>
          <cell r="AK16">
            <v>25336</v>
          </cell>
          <cell r="AL16">
            <v>70500</v>
          </cell>
          <cell r="AN16">
            <v>10300</v>
          </cell>
        </row>
        <row r="17">
          <cell r="B17">
            <v>43248</v>
          </cell>
          <cell r="C17" t="str">
            <v>Noon Position</v>
          </cell>
          <cell r="E17">
            <v>0.5</v>
          </cell>
          <cell r="F17">
            <v>6.4000000000000012</v>
          </cell>
          <cell r="L17">
            <v>0</v>
          </cell>
          <cell r="M17">
            <v>0</v>
          </cell>
          <cell r="S17">
            <v>11.6</v>
          </cell>
          <cell r="V17">
            <v>2.6</v>
          </cell>
          <cell r="Y17">
            <v>62.5</v>
          </cell>
          <cell r="AA17">
            <v>10.1</v>
          </cell>
          <cell r="AE17">
            <v>43248</v>
          </cell>
          <cell r="AF17">
            <v>0.5</v>
          </cell>
          <cell r="AG17">
            <v>2657.5000000000014</v>
          </cell>
          <cell r="AH17">
            <v>0</v>
          </cell>
          <cell r="AI17">
            <v>389.7</v>
          </cell>
          <cell r="AJ17">
            <v>41516</v>
          </cell>
          <cell r="AK17">
            <v>25336</v>
          </cell>
          <cell r="AL17">
            <v>70500</v>
          </cell>
          <cell r="AN17">
            <v>10300</v>
          </cell>
        </row>
        <row r="18">
          <cell r="B18">
            <v>43249</v>
          </cell>
          <cell r="C18" t="str">
            <v>Noon Position</v>
          </cell>
          <cell r="E18">
            <v>0.5</v>
          </cell>
          <cell r="F18">
            <v>24</v>
          </cell>
          <cell r="L18">
            <v>0</v>
          </cell>
          <cell r="M18">
            <v>0</v>
          </cell>
          <cell r="N18">
            <v>41.8</v>
          </cell>
          <cell r="S18">
            <v>25.6</v>
          </cell>
          <cell r="V18">
            <v>7</v>
          </cell>
          <cell r="Y18">
            <v>126.9</v>
          </cell>
          <cell r="AA18">
            <v>28.5</v>
          </cell>
          <cell r="AE18">
            <v>43249</v>
          </cell>
          <cell r="AF18">
            <v>0.5</v>
          </cell>
          <cell r="AG18">
            <v>2624.6000000000013</v>
          </cell>
          <cell r="AH18">
            <v>0</v>
          </cell>
          <cell r="AI18">
            <v>389.7</v>
          </cell>
          <cell r="AJ18">
            <v>41330</v>
          </cell>
          <cell r="AK18">
            <v>25336</v>
          </cell>
          <cell r="AL18">
            <v>70500</v>
          </cell>
          <cell r="AN18">
            <v>10300</v>
          </cell>
        </row>
        <row r="19">
          <cell r="B19">
            <v>43249</v>
          </cell>
          <cell r="C19" t="str">
            <v>arr. anchorage</v>
          </cell>
          <cell r="E19">
            <v>0.85</v>
          </cell>
          <cell r="F19">
            <v>8.3999999999999986</v>
          </cell>
          <cell r="L19">
            <v>0</v>
          </cell>
          <cell r="M19">
            <v>0</v>
          </cell>
          <cell r="N19">
            <v>39.799999999999997</v>
          </cell>
          <cell r="S19">
            <v>8</v>
          </cell>
          <cell r="V19">
            <v>2.8</v>
          </cell>
          <cell r="Y19">
            <v>39.799999999999997</v>
          </cell>
          <cell r="AA19">
            <v>11.3</v>
          </cell>
          <cell r="AE19">
            <v>43249</v>
          </cell>
          <cell r="AF19">
            <v>0.85</v>
          </cell>
          <cell r="AG19">
            <v>2613.7000000000012</v>
          </cell>
          <cell r="AH19">
            <v>0</v>
          </cell>
          <cell r="AI19">
            <v>389.7</v>
          </cell>
          <cell r="AJ19">
            <v>41298</v>
          </cell>
          <cell r="AK19">
            <v>25336</v>
          </cell>
          <cell r="AL19">
            <v>70500</v>
          </cell>
          <cell r="AN19">
            <v>10300</v>
          </cell>
        </row>
        <row r="20">
          <cell r="B20">
            <v>43250</v>
          </cell>
          <cell r="C20" t="str">
            <v>anchorage</v>
          </cell>
          <cell r="E20">
            <v>0.5</v>
          </cell>
          <cell r="F20">
            <v>15.600000000000001</v>
          </cell>
          <cell r="L20">
            <v>0</v>
          </cell>
          <cell r="M20">
            <v>0</v>
          </cell>
          <cell r="V20">
            <v>4.5999999999999996</v>
          </cell>
          <cell r="AA20">
            <v>17</v>
          </cell>
          <cell r="AE20">
            <v>43250</v>
          </cell>
          <cell r="AF20">
            <v>0.5</v>
          </cell>
          <cell r="AG20">
            <v>2608.5000000000014</v>
          </cell>
          <cell r="AH20">
            <v>0</v>
          </cell>
          <cell r="AI20">
            <v>389.7</v>
          </cell>
          <cell r="AJ20">
            <v>41298</v>
          </cell>
          <cell r="AK20">
            <v>25336</v>
          </cell>
          <cell r="AL20">
            <v>70500</v>
          </cell>
          <cell r="AN20">
            <v>10300</v>
          </cell>
        </row>
        <row r="21">
          <cell r="B21">
            <v>43251</v>
          </cell>
          <cell r="C21" t="str">
            <v>dep. anchorage</v>
          </cell>
          <cell r="E21">
            <v>0.15833333333333333</v>
          </cell>
          <cell r="F21">
            <v>15.8</v>
          </cell>
          <cell r="L21">
            <v>0</v>
          </cell>
          <cell r="M21">
            <v>0</v>
          </cell>
          <cell r="V21">
            <v>4.5</v>
          </cell>
          <cell r="AA21">
            <v>16.5</v>
          </cell>
          <cell r="AE21">
            <v>43251</v>
          </cell>
          <cell r="AF21">
            <v>0.15833333333333333</v>
          </cell>
          <cell r="AG21">
            <v>2603.4000000000015</v>
          </cell>
          <cell r="AH21">
            <v>0</v>
          </cell>
          <cell r="AI21">
            <v>389.7</v>
          </cell>
          <cell r="AJ21">
            <v>41298</v>
          </cell>
          <cell r="AK21">
            <v>25336</v>
          </cell>
          <cell r="AL21">
            <v>70500</v>
          </cell>
          <cell r="AN21">
            <v>10300</v>
          </cell>
        </row>
        <row r="22">
          <cell r="B22">
            <v>43251</v>
          </cell>
          <cell r="C22" t="str">
            <v>arr. Shanghai</v>
          </cell>
          <cell r="E22">
            <v>0.33333333333333331</v>
          </cell>
          <cell r="F22">
            <v>4.1999999999999993</v>
          </cell>
          <cell r="L22">
            <v>0</v>
          </cell>
          <cell r="M22">
            <v>0</v>
          </cell>
          <cell r="N22">
            <v>38.200000000000003</v>
          </cell>
          <cell r="S22">
            <v>5.5</v>
          </cell>
          <cell r="V22">
            <v>1.9</v>
          </cell>
          <cell r="Y22">
            <v>28.3</v>
          </cell>
          <cell r="AA22">
            <v>7.4</v>
          </cell>
          <cell r="AE22">
            <v>43251</v>
          </cell>
          <cell r="AF22">
            <v>0.33333333333333331</v>
          </cell>
          <cell r="AG22">
            <v>2595.9000000000015</v>
          </cell>
          <cell r="AH22">
            <v>0</v>
          </cell>
          <cell r="AI22">
            <v>389.7</v>
          </cell>
          <cell r="AJ22">
            <v>41260</v>
          </cell>
          <cell r="AK22">
            <v>25336</v>
          </cell>
          <cell r="AL22">
            <v>70500</v>
          </cell>
          <cell r="AN22">
            <v>10300</v>
          </cell>
        </row>
        <row r="23">
          <cell r="B23">
            <v>43251</v>
          </cell>
          <cell r="C23" t="str">
            <v>Noon Position</v>
          </cell>
          <cell r="E23">
            <v>0.5</v>
          </cell>
          <cell r="F23">
            <v>4</v>
          </cell>
          <cell r="L23">
            <v>0</v>
          </cell>
          <cell r="M23">
            <v>0</v>
          </cell>
          <cell r="X23">
            <v>1.1000000000000001</v>
          </cell>
          <cell r="AA23">
            <v>3.4</v>
          </cell>
          <cell r="AE23">
            <v>43251</v>
          </cell>
          <cell r="AF23">
            <v>0.5</v>
          </cell>
          <cell r="AG23">
            <v>2595.9000000000015</v>
          </cell>
          <cell r="AH23">
            <v>0</v>
          </cell>
          <cell r="AI23">
            <v>388.49999999999994</v>
          </cell>
          <cell r="AJ23">
            <v>41260</v>
          </cell>
          <cell r="AK23">
            <v>25336</v>
          </cell>
          <cell r="AL23">
            <v>70500</v>
          </cell>
          <cell r="AN23">
            <v>10300</v>
          </cell>
        </row>
        <row r="24">
          <cell r="B24">
            <v>43252</v>
          </cell>
          <cell r="C24" t="str">
            <v>dep. Shanghai</v>
          </cell>
          <cell r="E24">
            <v>0</v>
          </cell>
          <cell r="F24">
            <v>12</v>
          </cell>
          <cell r="L24">
            <v>0</v>
          </cell>
          <cell r="M24">
            <v>0</v>
          </cell>
          <cell r="X24">
            <v>3.5</v>
          </cell>
          <cell r="AA24">
            <v>11.8</v>
          </cell>
          <cell r="AE24">
            <v>43252</v>
          </cell>
          <cell r="AF24">
            <v>0</v>
          </cell>
          <cell r="AG24">
            <v>2595.9000000000015</v>
          </cell>
          <cell r="AH24">
            <v>0</v>
          </cell>
          <cell r="AI24">
            <v>384.69999999999993</v>
          </cell>
          <cell r="AJ24">
            <v>41260</v>
          </cell>
          <cell r="AK24">
            <v>25336</v>
          </cell>
          <cell r="AL24">
            <v>70500</v>
          </cell>
          <cell r="AN24">
            <v>10300</v>
          </cell>
        </row>
        <row r="25">
          <cell r="B25">
            <v>43252</v>
          </cell>
          <cell r="C25" t="str">
            <v>cosp</v>
          </cell>
          <cell r="E25">
            <v>6.25E-2</v>
          </cell>
          <cell r="F25">
            <v>1.5</v>
          </cell>
          <cell r="L25">
            <v>0</v>
          </cell>
          <cell r="M25">
            <v>0</v>
          </cell>
          <cell r="N25">
            <v>40.5</v>
          </cell>
          <cell r="S25">
            <v>2.1</v>
          </cell>
          <cell r="V25">
            <v>0.9</v>
          </cell>
          <cell r="Y25">
            <v>11</v>
          </cell>
          <cell r="AA25">
            <v>2.9</v>
          </cell>
          <cell r="AE25">
            <v>43252</v>
          </cell>
          <cell r="AF25">
            <v>6.25E-2</v>
          </cell>
          <cell r="AG25">
            <v>2592.8000000000015</v>
          </cell>
          <cell r="AH25">
            <v>0</v>
          </cell>
          <cell r="AI25">
            <v>384.69999999999993</v>
          </cell>
          <cell r="AJ25">
            <v>41232</v>
          </cell>
          <cell r="AK25">
            <v>25336</v>
          </cell>
          <cell r="AL25">
            <v>70500</v>
          </cell>
          <cell r="AN25">
            <v>10300</v>
          </cell>
        </row>
        <row r="26">
          <cell r="B26">
            <v>43252</v>
          </cell>
          <cell r="C26" t="str">
            <v>Noon Position</v>
          </cell>
          <cell r="E26">
            <v>0.5</v>
          </cell>
          <cell r="F26">
            <v>10.5</v>
          </cell>
          <cell r="L26">
            <v>0</v>
          </cell>
          <cell r="M26">
            <v>0</v>
          </cell>
          <cell r="N26">
            <v>42.4</v>
          </cell>
          <cell r="S26">
            <v>11.9</v>
          </cell>
          <cell r="V26">
            <v>3.3</v>
          </cell>
          <cell r="Y26">
            <v>55.5</v>
          </cell>
          <cell r="AA26">
            <v>12.6</v>
          </cell>
          <cell r="AE26">
            <v>43252</v>
          </cell>
          <cell r="AF26">
            <v>0.5</v>
          </cell>
          <cell r="AG26">
            <v>2577.5000000000014</v>
          </cell>
          <cell r="AH26">
            <v>0</v>
          </cell>
          <cell r="AI26">
            <v>384.69999999999993</v>
          </cell>
          <cell r="AJ26">
            <v>41162</v>
          </cell>
          <cell r="AK26">
            <v>25336</v>
          </cell>
          <cell r="AL26">
            <v>70500</v>
          </cell>
          <cell r="AN26">
            <v>10300</v>
          </cell>
        </row>
        <row r="27">
          <cell r="B27">
            <v>43253</v>
          </cell>
          <cell r="C27" t="str">
            <v>Noon Position</v>
          </cell>
          <cell r="E27">
            <v>0.5</v>
          </cell>
          <cell r="F27">
            <v>24</v>
          </cell>
          <cell r="L27">
            <v>0</v>
          </cell>
          <cell r="M27">
            <v>0</v>
          </cell>
          <cell r="N27">
            <v>40.1</v>
          </cell>
          <cell r="S27">
            <v>21.2</v>
          </cell>
          <cell r="V27">
            <v>7.4</v>
          </cell>
          <cell r="Y27">
            <v>99.9</v>
          </cell>
          <cell r="AA27">
            <v>29.2</v>
          </cell>
          <cell r="AE27">
            <v>43253</v>
          </cell>
          <cell r="AF27">
            <v>0.5</v>
          </cell>
          <cell r="AG27">
            <v>2548.5000000000014</v>
          </cell>
          <cell r="AH27">
            <v>0</v>
          </cell>
          <cell r="AI27">
            <v>384.69999999999993</v>
          </cell>
          <cell r="AJ27">
            <v>41012</v>
          </cell>
          <cell r="AK27">
            <v>25336</v>
          </cell>
          <cell r="AL27">
            <v>70500</v>
          </cell>
          <cell r="AN27">
            <v>10300</v>
          </cell>
        </row>
        <row r="28">
          <cell r="B28">
            <v>43254</v>
          </cell>
          <cell r="C28" t="str">
            <v>Noon Position</v>
          </cell>
          <cell r="E28">
            <v>0.5</v>
          </cell>
          <cell r="F28">
            <v>24</v>
          </cell>
          <cell r="L28">
            <v>0</v>
          </cell>
          <cell r="M28">
            <v>0</v>
          </cell>
          <cell r="N28">
            <v>33.9</v>
          </cell>
          <cell r="S28">
            <v>17.899999999999999</v>
          </cell>
          <cell r="V28">
            <v>7.9</v>
          </cell>
          <cell r="Y28">
            <v>82.8</v>
          </cell>
          <cell r="AA28">
            <v>31.2</v>
          </cell>
          <cell r="AE28">
            <v>43254</v>
          </cell>
          <cell r="AF28">
            <v>0.5</v>
          </cell>
          <cell r="AG28">
            <v>2522.3000000000011</v>
          </cell>
          <cell r="AH28">
            <v>0</v>
          </cell>
          <cell r="AI28">
            <v>384.69999999999993</v>
          </cell>
          <cell r="AJ28">
            <v>40882</v>
          </cell>
          <cell r="AK28">
            <v>25336</v>
          </cell>
          <cell r="AL28">
            <v>70500</v>
          </cell>
          <cell r="AN28">
            <v>10300</v>
          </cell>
        </row>
        <row r="29">
          <cell r="B29">
            <v>43255</v>
          </cell>
          <cell r="C29" t="str">
            <v>arr. Anchor Shekou</v>
          </cell>
          <cell r="E29">
            <v>0.32500000000000001</v>
          </cell>
          <cell r="F29">
            <v>19.8</v>
          </cell>
          <cell r="L29">
            <v>0</v>
          </cell>
          <cell r="M29">
            <v>0</v>
          </cell>
          <cell r="N29">
            <v>39</v>
          </cell>
          <cell r="S29">
            <v>16.100000000000001</v>
          </cell>
          <cell r="V29">
            <v>6.8</v>
          </cell>
          <cell r="Y29">
            <v>75.599999999999994</v>
          </cell>
          <cell r="AA29">
            <v>26.2</v>
          </cell>
          <cell r="AE29">
            <v>43255</v>
          </cell>
          <cell r="AF29">
            <v>0.32500000000000001</v>
          </cell>
          <cell r="AG29">
            <v>2499.1000000000008</v>
          </cell>
          <cell r="AH29">
            <v>0</v>
          </cell>
          <cell r="AI29">
            <v>384.69999999999993</v>
          </cell>
          <cell r="AJ29">
            <v>40758</v>
          </cell>
          <cell r="AK29">
            <v>25336</v>
          </cell>
          <cell r="AL29">
            <v>70500</v>
          </cell>
          <cell r="AN29">
            <v>10300</v>
          </cell>
        </row>
        <row r="30">
          <cell r="B30">
            <v>43255</v>
          </cell>
          <cell r="C30" t="str">
            <v>anchorage</v>
          </cell>
          <cell r="E30">
            <v>0.5</v>
          </cell>
          <cell r="F30">
            <v>4.1999999999999993</v>
          </cell>
          <cell r="L30">
            <v>0</v>
          </cell>
          <cell r="M30">
            <v>0</v>
          </cell>
          <cell r="V30">
            <v>1.1000000000000001</v>
          </cell>
          <cell r="AA30">
            <v>4</v>
          </cell>
          <cell r="AE30">
            <v>43255</v>
          </cell>
          <cell r="AF30">
            <v>0.5</v>
          </cell>
          <cell r="AG30">
            <v>2497.900000000001</v>
          </cell>
          <cell r="AH30">
            <v>0</v>
          </cell>
          <cell r="AI30">
            <v>384.69999999999993</v>
          </cell>
          <cell r="AJ30">
            <v>40758</v>
          </cell>
          <cell r="AK30">
            <v>25336</v>
          </cell>
          <cell r="AL30">
            <v>70500</v>
          </cell>
          <cell r="AN30">
            <v>10300</v>
          </cell>
        </row>
        <row r="31">
          <cell r="B31">
            <v>43256</v>
          </cell>
          <cell r="C31" t="str">
            <v>dep. Anchorage</v>
          </cell>
          <cell r="E31">
            <v>0.5</v>
          </cell>
          <cell r="F31">
            <v>24</v>
          </cell>
          <cell r="L31">
            <v>0</v>
          </cell>
          <cell r="M31">
            <v>0</v>
          </cell>
          <cell r="V31">
            <v>7.3</v>
          </cell>
          <cell r="AA31">
            <v>26.7</v>
          </cell>
          <cell r="AE31">
            <v>43256</v>
          </cell>
          <cell r="AF31">
            <v>0.5</v>
          </cell>
          <cell r="AG31">
            <v>2489.900000000001</v>
          </cell>
          <cell r="AH31">
            <v>0</v>
          </cell>
          <cell r="AI31">
            <v>384.69999999999993</v>
          </cell>
          <cell r="AJ31">
            <v>40758</v>
          </cell>
          <cell r="AK31">
            <v>25336</v>
          </cell>
          <cell r="AL31">
            <v>70500</v>
          </cell>
          <cell r="AN31">
            <v>10300</v>
          </cell>
        </row>
        <row r="32">
          <cell r="B32">
            <v>43256</v>
          </cell>
          <cell r="C32" t="str">
            <v>arr. Shekou</v>
          </cell>
          <cell r="E32">
            <v>0.65416666666666667</v>
          </cell>
          <cell r="F32">
            <v>3.7</v>
          </cell>
          <cell r="L32">
            <v>0</v>
          </cell>
          <cell r="M32">
            <v>0</v>
          </cell>
          <cell r="N32">
            <v>33.200000000000003</v>
          </cell>
          <cell r="S32">
            <v>4</v>
          </cell>
          <cell r="V32">
            <v>1.7</v>
          </cell>
          <cell r="Y32">
            <v>20.3</v>
          </cell>
          <cell r="AA32">
            <v>6.4</v>
          </cell>
          <cell r="AE32">
            <v>43256</v>
          </cell>
          <cell r="AF32">
            <v>0.65416666666666667</v>
          </cell>
          <cell r="AG32">
            <v>2484.1000000000013</v>
          </cell>
          <cell r="AH32">
            <v>0</v>
          </cell>
          <cell r="AI32">
            <v>384.69999999999993</v>
          </cell>
          <cell r="AJ32">
            <v>40708</v>
          </cell>
          <cell r="AK32">
            <v>25336</v>
          </cell>
          <cell r="AL32">
            <v>70500</v>
          </cell>
          <cell r="AN32">
            <v>10300</v>
          </cell>
        </row>
        <row r="33">
          <cell r="B33">
            <v>43257</v>
          </cell>
          <cell r="C33" t="str">
            <v>dep. Shekou</v>
          </cell>
          <cell r="E33">
            <v>0.33333333333333331</v>
          </cell>
          <cell r="F33">
            <v>16.299999999999997</v>
          </cell>
          <cell r="L33">
            <v>0</v>
          </cell>
          <cell r="M33">
            <v>0</v>
          </cell>
          <cell r="X33">
            <v>5.3</v>
          </cell>
          <cell r="AA33">
            <v>18.7</v>
          </cell>
          <cell r="AE33">
            <v>43257</v>
          </cell>
          <cell r="AF33">
            <v>0.33333333333333331</v>
          </cell>
          <cell r="AG33">
            <v>2484.1000000000013</v>
          </cell>
          <cell r="AH33">
            <v>0</v>
          </cell>
          <cell r="AI33">
            <v>378.89999999999992</v>
          </cell>
          <cell r="AJ33">
            <v>40708</v>
          </cell>
          <cell r="AK33">
            <v>25336</v>
          </cell>
          <cell r="AL33">
            <v>70500</v>
          </cell>
          <cell r="AN33">
            <v>10300</v>
          </cell>
        </row>
        <row r="34">
          <cell r="B34">
            <v>43257</v>
          </cell>
          <cell r="C34" t="str">
            <v>cosp</v>
          </cell>
          <cell r="E34">
            <v>0.4375</v>
          </cell>
          <cell r="F34">
            <v>2.5000000000000004</v>
          </cell>
          <cell r="L34">
            <v>0</v>
          </cell>
          <cell r="M34">
            <v>0</v>
          </cell>
          <cell r="N34">
            <v>43.7</v>
          </cell>
          <cell r="S34">
            <v>5.2</v>
          </cell>
          <cell r="V34">
            <v>1.9</v>
          </cell>
          <cell r="Y34">
            <v>22</v>
          </cell>
          <cell r="AA34">
            <v>7.1</v>
          </cell>
          <cell r="AE34">
            <v>43257</v>
          </cell>
          <cell r="AF34">
            <v>0.4375</v>
          </cell>
          <cell r="AG34">
            <v>2476.8000000000015</v>
          </cell>
          <cell r="AH34">
            <v>0</v>
          </cell>
          <cell r="AI34">
            <v>378.89999999999992</v>
          </cell>
          <cell r="AJ34">
            <v>40667</v>
          </cell>
          <cell r="AK34">
            <v>25336</v>
          </cell>
          <cell r="AL34">
            <v>70500</v>
          </cell>
          <cell r="AN34">
            <v>10300</v>
          </cell>
        </row>
        <row r="35">
          <cell r="B35">
            <v>43257</v>
          </cell>
          <cell r="C35" t="str">
            <v>Noon Position</v>
          </cell>
          <cell r="E35">
            <v>0.5</v>
          </cell>
          <cell r="F35">
            <v>1.5</v>
          </cell>
          <cell r="L35">
            <v>0</v>
          </cell>
          <cell r="M35">
            <v>0</v>
          </cell>
          <cell r="N35">
            <v>59.2</v>
          </cell>
          <cell r="S35">
            <v>7.4</v>
          </cell>
          <cell r="V35">
            <v>0.4</v>
          </cell>
          <cell r="Y35">
            <v>32.200000000000003</v>
          </cell>
          <cell r="AA35">
            <v>1.6</v>
          </cell>
          <cell r="AE35">
            <v>43257</v>
          </cell>
          <cell r="AF35">
            <v>0.5</v>
          </cell>
          <cell r="AG35">
            <v>2469.0000000000014</v>
          </cell>
          <cell r="AH35">
            <v>0</v>
          </cell>
          <cell r="AI35">
            <v>378.89999999999992</v>
          </cell>
          <cell r="AJ35">
            <v>40635</v>
          </cell>
          <cell r="AK35">
            <v>25336</v>
          </cell>
          <cell r="AL35">
            <v>70500</v>
          </cell>
          <cell r="AN35">
            <v>10300</v>
          </cell>
        </row>
        <row r="36">
          <cell r="B36">
            <v>43258</v>
          </cell>
          <cell r="C36" t="str">
            <v>Noon Position</v>
          </cell>
          <cell r="E36">
            <v>0.5</v>
          </cell>
          <cell r="F36">
            <v>24</v>
          </cell>
          <cell r="L36">
            <v>0</v>
          </cell>
          <cell r="M36">
            <v>0</v>
          </cell>
          <cell r="N36">
            <v>76.7</v>
          </cell>
          <cell r="S36">
            <v>142.9</v>
          </cell>
          <cell r="V36">
            <v>10</v>
          </cell>
          <cell r="Y36">
            <v>715.9</v>
          </cell>
          <cell r="AA36">
            <v>35.4</v>
          </cell>
          <cell r="AE36">
            <v>43258</v>
          </cell>
          <cell r="AF36">
            <v>0.5</v>
          </cell>
          <cell r="AG36">
            <v>2316.1000000000013</v>
          </cell>
          <cell r="AH36">
            <v>0</v>
          </cell>
          <cell r="AI36">
            <v>378.89999999999992</v>
          </cell>
          <cell r="AJ36">
            <v>40024</v>
          </cell>
          <cell r="AK36">
            <v>25336</v>
          </cell>
          <cell r="AL36">
            <v>68500</v>
          </cell>
          <cell r="AN36">
            <v>10300</v>
          </cell>
        </row>
        <row r="37">
          <cell r="B37">
            <v>43259</v>
          </cell>
          <cell r="C37" t="str">
            <v>Noon Position</v>
          </cell>
          <cell r="E37">
            <v>0.5</v>
          </cell>
          <cell r="F37">
            <v>24</v>
          </cell>
          <cell r="L37">
            <v>0</v>
          </cell>
          <cell r="M37">
            <v>0</v>
          </cell>
          <cell r="N37">
            <v>77.3</v>
          </cell>
          <cell r="S37">
            <v>150.1</v>
          </cell>
          <cell r="V37">
            <v>10.5</v>
          </cell>
          <cell r="Y37">
            <v>746</v>
          </cell>
          <cell r="AA37">
            <v>37.299999999999997</v>
          </cell>
          <cell r="AE37">
            <v>43259</v>
          </cell>
          <cell r="AF37">
            <v>0.5</v>
          </cell>
          <cell r="AG37">
            <v>2155.5000000000014</v>
          </cell>
          <cell r="AH37">
            <v>0</v>
          </cell>
          <cell r="AI37">
            <v>378.89999999999992</v>
          </cell>
          <cell r="AJ37">
            <v>39386</v>
          </cell>
          <cell r="AK37">
            <v>25336</v>
          </cell>
          <cell r="AL37">
            <v>68500</v>
          </cell>
          <cell r="AN37">
            <v>9450</v>
          </cell>
        </row>
        <row r="38">
          <cell r="B38">
            <v>43260</v>
          </cell>
          <cell r="C38" t="str">
            <v>eosp</v>
          </cell>
          <cell r="E38">
            <v>0.33333333333333331</v>
          </cell>
          <cell r="F38">
            <v>20</v>
          </cell>
          <cell r="L38">
            <v>0</v>
          </cell>
          <cell r="M38">
            <v>0</v>
          </cell>
          <cell r="N38">
            <v>77.599999999999994</v>
          </cell>
          <cell r="S38">
            <v>120.2</v>
          </cell>
          <cell r="V38">
            <v>8.1999999999999993</v>
          </cell>
          <cell r="Y38">
            <v>589.9</v>
          </cell>
          <cell r="AA38">
            <v>31.9</v>
          </cell>
          <cell r="AE38">
            <v>43260</v>
          </cell>
          <cell r="AF38">
            <v>0.33333333333333331</v>
          </cell>
          <cell r="AG38">
            <v>2027.1000000000013</v>
          </cell>
          <cell r="AH38">
            <v>0</v>
          </cell>
          <cell r="AI38">
            <v>378.89999999999992</v>
          </cell>
          <cell r="AJ38">
            <v>38883</v>
          </cell>
          <cell r="AK38">
            <v>25336</v>
          </cell>
          <cell r="AL38">
            <v>68500</v>
          </cell>
          <cell r="AN38">
            <v>9450</v>
          </cell>
        </row>
        <row r="39">
          <cell r="B39">
            <v>43260</v>
          </cell>
          <cell r="C39" t="str">
            <v>Noon Position</v>
          </cell>
          <cell r="E39">
            <v>0.5</v>
          </cell>
          <cell r="F39">
            <v>4</v>
          </cell>
          <cell r="L39">
            <v>0</v>
          </cell>
          <cell r="M39">
            <v>0</v>
          </cell>
          <cell r="N39">
            <v>26.3</v>
          </cell>
          <cell r="S39">
            <v>2</v>
          </cell>
          <cell r="V39">
            <v>1.5</v>
          </cell>
          <cell r="Y39">
            <v>10.3</v>
          </cell>
          <cell r="AA39">
            <v>5.8</v>
          </cell>
          <cell r="AE39">
            <v>43260</v>
          </cell>
          <cell r="AF39">
            <v>0.5</v>
          </cell>
          <cell r="AG39">
            <v>2023.6000000000013</v>
          </cell>
          <cell r="AH39">
            <v>0</v>
          </cell>
          <cell r="AI39">
            <v>378.89999999999992</v>
          </cell>
          <cell r="AJ39">
            <v>38865</v>
          </cell>
          <cell r="AK39">
            <v>25336</v>
          </cell>
          <cell r="AL39">
            <v>68500</v>
          </cell>
          <cell r="AN39">
            <v>9450</v>
          </cell>
        </row>
        <row r="40">
          <cell r="B40">
            <v>43260</v>
          </cell>
          <cell r="C40" t="str">
            <v>arr.Singapore</v>
          </cell>
          <cell r="E40">
            <v>0.62916666666666665</v>
          </cell>
          <cell r="F40">
            <v>3.0999999999999996</v>
          </cell>
          <cell r="L40">
            <v>0</v>
          </cell>
          <cell r="M40">
            <v>0</v>
          </cell>
          <cell r="N40">
            <v>13.7</v>
          </cell>
          <cell r="S40">
            <v>1.5</v>
          </cell>
          <cell r="V40">
            <v>1.9</v>
          </cell>
          <cell r="Y40">
            <v>7</v>
          </cell>
          <cell r="AA40">
            <v>5.8</v>
          </cell>
          <cell r="AE40">
            <v>43260</v>
          </cell>
          <cell r="AF40">
            <v>0.62916666666666665</v>
          </cell>
          <cell r="AG40">
            <v>6220.6200000000008</v>
          </cell>
          <cell r="AH40">
            <v>0</v>
          </cell>
          <cell r="AI40">
            <v>378.89999999999992</v>
          </cell>
          <cell r="AJ40">
            <v>63851</v>
          </cell>
          <cell r="AK40">
            <v>25336</v>
          </cell>
          <cell r="AL40">
            <v>113500</v>
          </cell>
          <cell r="AN40">
            <v>25450</v>
          </cell>
        </row>
        <row r="41">
          <cell r="B41">
            <v>43261</v>
          </cell>
          <cell r="C41" t="str">
            <v>dep. Singapore</v>
          </cell>
          <cell r="E41">
            <v>0.5083333333333333</v>
          </cell>
          <cell r="F41">
            <v>21.1</v>
          </cell>
          <cell r="L41">
            <v>0</v>
          </cell>
          <cell r="M41">
            <v>0</v>
          </cell>
          <cell r="V41">
            <v>7.2</v>
          </cell>
          <cell r="AA41">
            <v>28.8</v>
          </cell>
          <cell r="AE41">
            <v>43261</v>
          </cell>
          <cell r="AF41">
            <v>0.5083333333333333</v>
          </cell>
          <cell r="AG41">
            <v>6212.420000000001</v>
          </cell>
          <cell r="AH41">
            <v>0</v>
          </cell>
          <cell r="AI41">
            <v>378.89999999999992</v>
          </cell>
          <cell r="AJ41">
            <v>63851</v>
          </cell>
          <cell r="AK41">
            <v>25336</v>
          </cell>
          <cell r="AL41">
            <v>113500</v>
          </cell>
          <cell r="AN41">
            <v>25450</v>
          </cell>
        </row>
        <row r="42">
          <cell r="B42">
            <v>43262</v>
          </cell>
          <cell r="C42" t="str">
            <v>arr. Anchor</v>
          </cell>
          <cell r="E42">
            <v>4.5833333333333337E-2</v>
          </cell>
          <cell r="F42">
            <v>12.9</v>
          </cell>
          <cell r="L42">
            <v>0</v>
          </cell>
          <cell r="M42">
            <v>0</v>
          </cell>
          <cell r="N42">
            <v>54.4</v>
          </cell>
          <cell r="S42">
            <v>28.7</v>
          </cell>
          <cell r="V42">
            <v>6.1</v>
          </cell>
          <cell r="Y42">
            <v>153.6</v>
          </cell>
          <cell r="AA42">
            <v>24.8</v>
          </cell>
          <cell r="AE42">
            <v>43262</v>
          </cell>
          <cell r="AF42">
            <v>4.5833333333333337E-2</v>
          </cell>
          <cell r="AG42">
            <v>6177.6200000000008</v>
          </cell>
          <cell r="AH42">
            <v>0</v>
          </cell>
          <cell r="AI42">
            <v>378.89999999999992</v>
          </cell>
          <cell r="AJ42">
            <v>63685</v>
          </cell>
          <cell r="AK42">
            <v>25336</v>
          </cell>
          <cell r="AL42">
            <v>113500</v>
          </cell>
          <cell r="AN42">
            <v>25450</v>
          </cell>
        </row>
        <row r="43">
          <cell r="B43">
            <v>43262</v>
          </cell>
          <cell r="C43" t="str">
            <v>dep.Anchor</v>
          </cell>
          <cell r="E43">
            <v>0.28333333333333333</v>
          </cell>
          <cell r="F43">
            <v>5.6999999999999993</v>
          </cell>
          <cell r="L43">
            <v>0</v>
          </cell>
          <cell r="M43">
            <v>0</v>
          </cell>
          <cell r="V43">
            <v>2.2999999999999998</v>
          </cell>
          <cell r="AA43">
            <v>9.1</v>
          </cell>
          <cell r="AE43">
            <v>43262</v>
          </cell>
          <cell r="AF43">
            <v>0.28333333333333333</v>
          </cell>
          <cell r="AG43">
            <v>6175.1200000000008</v>
          </cell>
          <cell r="AH43">
            <v>0</v>
          </cell>
          <cell r="AI43">
            <v>378.89999999999992</v>
          </cell>
          <cell r="AJ43">
            <v>63685</v>
          </cell>
          <cell r="AK43">
            <v>25336</v>
          </cell>
          <cell r="AL43">
            <v>113500</v>
          </cell>
          <cell r="AN43">
            <v>25450</v>
          </cell>
        </row>
        <row r="44">
          <cell r="B44">
            <v>43262</v>
          </cell>
          <cell r="C44" t="str">
            <v>Arr. Port Kelang</v>
          </cell>
          <cell r="E44">
            <v>0.37916666666666665</v>
          </cell>
          <cell r="F44">
            <v>2.2999999999999998</v>
          </cell>
          <cell r="L44">
            <v>0</v>
          </cell>
          <cell r="M44">
            <v>0</v>
          </cell>
          <cell r="N44">
            <v>20.8</v>
          </cell>
          <cell r="S44">
            <v>1.3</v>
          </cell>
          <cell r="V44">
            <v>1.5</v>
          </cell>
          <cell r="Y44">
            <v>5.5</v>
          </cell>
          <cell r="AA44">
            <v>6.1</v>
          </cell>
          <cell r="AE44">
            <v>43262</v>
          </cell>
          <cell r="AF44">
            <v>0.37916666666666665</v>
          </cell>
          <cell r="AG44">
            <v>6137.22</v>
          </cell>
          <cell r="AH44">
            <v>0</v>
          </cell>
          <cell r="AI44">
            <v>378.89999999999992</v>
          </cell>
          <cell r="AJ44">
            <v>63670</v>
          </cell>
          <cell r="AK44">
            <v>25336</v>
          </cell>
          <cell r="AL44">
            <v>113500</v>
          </cell>
          <cell r="AN44">
            <v>25450</v>
          </cell>
        </row>
        <row r="45">
          <cell r="B45">
            <v>43262</v>
          </cell>
          <cell r="C45" t="str">
            <v>Noon Position</v>
          </cell>
          <cell r="E45">
            <v>0.5</v>
          </cell>
          <cell r="F45">
            <v>2.9000000000000004</v>
          </cell>
          <cell r="L45">
            <v>0</v>
          </cell>
          <cell r="M45">
            <v>0</v>
          </cell>
          <cell r="V45">
            <v>0.3</v>
          </cell>
          <cell r="X45">
            <v>0.3</v>
          </cell>
          <cell r="AA45">
            <v>4</v>
          </cell>
          <cell r="AE45">
            <v>43262</v>
          </cell>
          <cell r="AF45">
            <v>0.5</v>
          </cell>
          <cell r="AG45">
            <v>6136.82</v>
          </cell>
          <cell r="AH45">
            <v>0</v>
          </cell>
          <cell r="AI45">
            <v>378.59999999999991</v>
          </cell>
          <cell r="AJ45">
            <v>63670</v>
          </cell>
          <cell r="AK45">
            <v>25336</v>
          </cell>
          <cell r="AL45">
            <v>113500</v>
          </cell>
          <cell r="AN45">
            <v>25450</v>
          </cell>
        </row>
        <row r="46">
          <cell r="B46">
            <v>43262</v>
          </cell>
          <cell r="C46" t="str">
            <v>Departure Port Kelang</v>
          </cell>
          <cell r="E46">
            <v>0.6791666666666667</v>
          </cell>
          <cell r="F46">
            <v>4.3000000000000007</v>
          </cell>
          <cell r="L46">
            <v>0</v>
          </cell>
          <cell r="M46">
            <v>0</v>
          </cell>
          <cell r="V46">
            <v>1.5</v>
          </cell>
          <cell r="AA46">
            <v>5.6</v>
          </cell>
          <cell r="AE46">
            <v>43262</v>
          </cell>
          <cell r="AF46">
            <v>0.6791666666666667</v>
          </cell>
          <cell r="AG46">
            <v>6135.2199999999993</v>
          </cell>
          <cell r="AH46">
            <v>0</v>
          </cell>
          <cell r="AI46">
            <v>378.59999999999991</v>
          </cell>
          <cell r="AJ46">
            <v>63670</v>
          </cell>
          <cell r="AK46">
            <v>25336</v>
          </cell>
          <cell r="AL46">
            <v>113500</v>
          </cell>
          <cell r="AN46">
            <v>25450</v>
          </cell>
        </row>
        <row r="47">
          <cell r="B47">
            <v>43262</v>
          </cell>
          <cell r="C47" t="str">
            <v>BOSP</v>
          </cell>
          <cell r="E47">
            <v>0.79166666666666663</v>
          </cell>
          <cell r="F47">
            <v>2.6999999999999984</v>
          </cell>
          <cell r="L47">
            <v>0</v>
          </cell>
          <cell r="M47">
            <v>0</v>
          </cell>
          <cell r="N47">
            <v>54</v>
          </cell>
          <cell r="S47">
            <v>6.1</v>
          </cell>
          <cell r="V47">
            <v>1.5</v>
          </cell>
          <cell r="AA47">
            <v>6</v>
          </cell>
          <cell r="AE47">
            <v>43262</v>
          </cell>
          <cell r="AF47">
            <v>0.79166666666666663</v>
          </cell>
          <cell r="AG47">
            <v>6127.5199999999986</v>
          </cell>
          <cell r="AH47">
            <v>0</v>
          </cell>
          <cell r="AI47">
            <v>378.59999999999991</v>
          </cell>
          <cell r="AJ47">
            <v>63618</v>
          </cell>
          <cell r="AK47">
            <v>25336</v>
          </cell>
          <cell r="AL47">
            <v>113500</v>
          </cell>
          <cell r="AN47">
            <v>25450</v>
          </cell>
        </row>
        <row r="48">
          <cell r="B48">
            <v>43263</v>
          </cell>
          <cell r="C48" t="str">
            <v>Sea</v>
          </cell>
          <cell r="E48">
            <v>0.41666666666666669</v>
          </cell>
          <cell r="F48">
            <v>15.000000000000002</v>
          </cell>
          <cell r="L48">
            <v>0</v>
          </cell>
          <cell r="M48">
            <v>0</v>
          </cell>
          <cell r="N48">
            <v>68.7</v>
          </cell>
          <cell r="S48">
            <v>55.8</v>
          </cell>
          <cell r="V48">
            <v>6.1</v>
          </cell>
          <cell r="Y48">
            <v>308.2</v>
          </cell>
          <cell r="AA48">
            <v>24.5</v>
          </cell>
          <cell r="AB48" t="str">
            <v>S</v>
          </cell>
          <cell r="AE48">
            <v>43263</v>
          </cell>
          <cell r="AF48">
            <v>0.41666666666666669</v>
          </cell>
          <cell r="AG48">
            <v>6065.6199999999981</v>
          </cell>
          <cell r="AH48">
            <v>0</v>
          </cell>
          <cell r="AI48">
            <v>378.59999999999991</v>
          </cell>
          <cell r="AJ48">
            <v>63264</v>
          </cell>
          <cell r="AK48">
            <v>25336</v>
          </cell>
          <cell r="AL48">
            <v>113500</v>
          </cell>
          <cell r="AN48">
            <v>25450</v>
          </cell>
        </row>
        <row r="49">
          <cell r="B49">
            <v>43264</v>
          </cell>
          <cell r="C49" t="str">
            <v>Sea</v>
          </cell>
          <cell r="E49">
            <v>0.41666666666666669</v>
          </cell>
          <cell r="F49">
            <v>25</v>
          </cell>
          <cell r="L49">
            <v>0</v>
          </cell>
          <cell r="M49">
            <v>0</v>
          </cell>
          <cell r="N49">
            <v>71.400000000000006</v>
          </cell>
          <cell r="S49">
            <v>113</v>
          </cell>
          <cell r="V49">
            <v>10.199999999999999</v>
          </cell>
          <cell r="Y49">
            <v>612.29999999999995</v>
          </cell>
          <cell r="AA49">
            <v>40.9</v>
          </cell>
          <cell r="AB49" t="str">
            <v>S</v>
          </cell>
          <cell r="AE49">
            <v>43264</v>
          </cell>
          <cell r="AF49">
            <v>0.41666666666666669</v>
          </cell>
          <cell r="AG49">
            <v>5942.4199999999983</v>
          </cell>
          <cell r="AH49">
            <v>0</v>
          </cell>
          <cell r="AI49">
            <v>378.59999999999991</v>
          </cell>
          <cell r="AJ49">
            <v>62570</v>
          </cell>
          <cell r="AK49">
            <v>25336</v>
          </cell>
          <cell r="AL49">
            <v>113500</v>
          </cell>
          <cell r="AN49">
            <v>25450</v>
          </cell>
        </row>
        <row r="50">
          <cell r="B50">
            <v>43265</v>
          </cell>
          <cell r="C50" t="str">
            <v>Sea</v>
          </cell>
          <cell r="E50">
            <v>0.41666666666666669</v>
          </cell>
          <cell r="F50">
            <v>24</v>
          </cell>
          <cell r="L50">
            <v>0</v>
          </cell>
          <cell r="M50">
            <v>0</v>
          </cell>
          <cell r="N50">
            <v>70.3</v>
          </cell>
          <cell r="S50">
            <v>99.3</v>
          </cell>
          <cell r="V50">
            <v>9.6</v>
          </cell>
          <cell r="Y50">
            <v>545</v>
          </cell>
          <cell r="AA50">
            <v>40</v>
          </cell>
          <cell r="AB50" t="str">
            <v>S</v>
          </cell>
          <cell r="AE50">
            <v>43265</v>
          </cell>
          <cell r="AF50">
            <v>0.41666666666666669</v>
          </cell>
          <cell r="AG50">
            <v>5833.5199999999977</v>
          </cell>
          <cell r="AH50">
            <v>0</v>
          </cell>
          <cell r="AI50">
            <v>378.59999999999991</v>
          </cell>
          <cell r="AJ50">
            <v>61944</v>
          </cell>
          <cell r="AK50">
            <v>25336</v>
          </cell>
          <cell r="AL50">
            <v>113500</v>
          </cell>
          <cell r="AN50">
            <v>25450</v>
          </cell>
        </row>
        <row r="51">
          <cell r="B51">
            <v>43266</v>
          </cell>
          <cell r="C51" t="str">
            <v>Sea</v>
          </cell>
          <cell r="E51">
            <v>0.41666666666666669</v>
          </cell>
          <cell r="F51">
            <v>25</v>
          </cell>
          <cell r="L51">
            <v>0</v>
          </cell>
          <cell r="M51">
            <v>0</v>
          </cell>
          <cell r="N51">
            <v>73.099999999999994</v>
          </cell>
          <cell r="S51">
            <v>115.2</v>
          </cell>
          <cell r="V51">
            <v>9.9</v>
          </cell>
          <cell r="Y51">
            <v>627.5</v>
          </cell>
          <cell r="AA51">
            <v>51.5</v>
          </cell>
          <cell r="AB51" t="str">
            <v>S</v>
          </cell>
          <cell r="AE51">
            <v>43266</v>
          </cell>
          <cell r="AF51">
            <v>0.41666666666666669</v>
          </cell>
          <cell r="AG51">
            <v>5708.4199999999983</v>
          </cell>
          <cell r="AH51">
            <v>0</v>
          </cell>
          <cell r="AI51">
            <v>378.59999999999991</v>
          </cell>
          <cell r="AJ51">
            <v>61232</v>
          </cell>
          <cell r="AK51">
            <v>25336</v>
          </cell>
          <cell r="AL51">
            <v>113500</v>
          </cell>
          <cell r="AN51">
            <v>25450</v>
          </cell>
        </row>
        <row r="52">
          <cell r="B52">
            <v>43267</v>
          </cell>
          <cell r="C52" t="str">
            <v>Sea</v>
          </cell>
          <cell r="E52">
            <v>0.41666666666666669</v>
          </cell>
          <cell r="F52">
            <v>25</v>
          </cell>
          <cell r="L52">
            <v>0</v>
          </cell>
          <cell r="M52">
            <v>0</v>
          </cell>
          <cell r="N52">
            <v>72.8</v>
          </cell>
          <cell r="S52">
            <v>113.7</v>
          </cell>
          <cell r="V52">
            <v>9.6999999999999993</v>
          </cell>
          <cell r="Y52">
            <v>620.9</v>
          </cell>
          <cell r="AA52">
            <v>41</v>
          </cell>
          <cell r="AB52" t="str">
            <v>S</v>
          </cell>
          <cell r="AE52">
            <v>43267</v>
          </cell>
          <cell r="AF52">
            <v>0.41666666666666669</v>
          </cell>
          <cell r="AG52">
            <v>5585.0199999999986</v>
          </cell>
          <cell r="AH52">
            <v>0</v>
          </cell>
          <cell r="AI52">
            <v>378.59999999999991</v>
          </cell>
          <cell r="AJ52">
            <v>60527</v>
          </cell>
          <cell r="AK52">
            <v>25336</v>
          </cell>
          <cell r="AL52">
            <v>113500</v>
          </cell>
          <cell r="AN52">
            <v>25450</v>
          </cell>
        </row>
        <row r="53">
          <cell r="B53">
            <v>43268</v>
          </cell>
          <cell r="C53" t="str">
            <v>Sea</v>
          </cell>
          <cell r="E53">
            <v>0.41666666666666669</v>
          </cell>
          <cell r="F53">
            <v>24</v>
          </cell>
          <cell r="L53">
            <v>0</v>
          </cell>
          <cell r="M53">
            <v>0</v>
          </cell>
          <cell r="N53">
            <v>73.8</v>
          </cell>
          <cell r="S53">
            <v>114.6</v>
          </cell>
          <cell r="V53">
            <v>9.3000000000000007</v>
          </cell>
          <cell r="Y53">
            <v>622.9</v>
          </cell>
          <cell r="AA53">
            <v>39</v>
          </cell>
          <cell r="AB53" t="str">
            <v>S</v>
          </cell>
          <cell r="AE53">
            <v>43268</v>
          </cell>
          <cell r="AF53">
            <v>0.41666666666666669</v>
          </cell>
          <cell r="AG53">
            <v>5461.1199999999981</v>
          </cell>
          <cell r="AH53">
            <v>0</v>
          </cell>
          <cell r="AI53">
            <v>378.59999999999991</v>
          </cell>
          <cell r="AJ53">
            <v>59820</v>
          </cell>
          <cell r="AK53">
            <v>25336</v>
          </cell>
          <cell r="AL53">
            <v>113500</v>
          </cell>
          <cell r="AN53">
            <v>25450</v>
          </cell>
        </row>
        <row r="54">
          <cell r="B54">
            <v>43269</v>
          </cell>
          <cell r="C54" t="str">
            <v>Sea</v>
          </cell>
          <cell r="E54">
            <v>0.41666666666666669</v>
          </cell>
          <cell r="F54">
            <v>25</v>
          </cell>
          <cell r="L54">
            <v>0</v>
          </cell>
          <cell r="M54">
            <v>0</v>
          </cell>
          <cell r="N54">
            <v>72.3</v>
          </cell>
          <cell r="S54">
            <v>114</v>
          </cell>
          <cell r="V54">
            <v>9.3000000000000007</v>
          </cell>
          <cell r="Y54">
            <v>620.79999999999995</v>
          </cell>
          <cell r="AA54">
            <v>39</v>
          </cell>
          <cell r="AB54" t="str">
            <v>S</v>
          </cell>
          <cell r="AE54">
            <v>43269</v>
          </cell>
          <cell r="AF54">
            <v>0.41666666666666669</v>
          </cell>
          <cell r="AG54">
            <v>5337.8199999999979</v>
          </cell>
          <cell r="AH54">
            <v>0</v>
          </cell>
          <cell r="AI54">
            <v>378.59999999999991</v>
          </cell>
          <cell r="AJ54">
            <v>59120</v>
          </cell>
          <cell r="AK54">
            <v>25336</v>
          </cell>
          <cell r="AL54">
            <v>113500</v>
          </cell>
          <cell r="AN54">
            <v>25450</v>
          </cell>
        </row>
        <row r="55">
          <cell r="B55">
            <v>43270</v>
          </cell>
          <cell r="C55" t="str">
            <v>Sea</v>
          </cell>
          <cell r="E55">
            <v>0.41666666666666669</v>
          </cell>
          <cell r="F55">
            <v>24</v>
          </cell>
          <cell r="L55">
            <v>0</v>
          </cell>
          <cell r="M55">
            <v>0</v>
          </cell>
          <cell r="N55">
            <v>73.3</v>
          </cell>
          <cell r="S55">
            <v>112.6</v>
          </cell>
          <cell r="V55">
            <v>8.9</v>
          </cell>
          <cell r="Y55">
            <v>617.6</v>
          </cell>
          <cell r="AA55">
            <v>37.799999999999997</v>
          </cell>
          <cell r="AB55" t="str">
            <v>S</v>
          </cell>
          <cell r="AE55">
            <v>43270</v>
          </cell>
          <cell r="AF55">
            <v>0.41666666666666669</v>
          </cell>
          <cell r="AG55">
            <v>5216.3199999999979</v>
          </cell>
          <cell r="AH55">
            <v>0</v>
          </cell>
          <cell r="AI55">
            <v>378.59999999999991</v>
          </cell>
          <cell r="AJ55">
            <v>58423</v>
          </cell>
          <cell r="AK55">
            <v>25336</v>
          </cell>
          <cell r="AL55">
            <v>113500</v>
          </cell>
          <cell r="AN55">
            <v>25450</v>
          </cell>
        </row>
      </sheetData>
      <sheetData sheetId="2">
        <row r="8">
          <cell r="B8">
            <v>43271</v>
          </cell>
          <cell r="E8">
            <v>0.41666666666666669</v>
          </cell>
          <cell r="F8">
            <v>25</v>
          </cell>
          <cell r="L8">
            <v>0</v>
          </cell>
          <cell r="M8">
            <v>0</v>
          </cell>
          <cell r="N8">
            <v>72.599999999999994</v>
          </cell>
          <cell r="S8">
            <v>117.3</v>
          </cell>
          <cell r="V8">
            <v>9.1</v>
          </cell>
          <cell r="Y8">
            <v>636.9</v>
          </cell>
          <cell r="AA8">
            <v>38.200000000000003</v>
          </cell>
          <cell r="AB8" t="str">
            <v>S</v>
          </cell>
          <cell r="AE8">
            <v>43271</v>
          </cell>
          <cell r="AF8">
            <v>0.41666666666666669</v>
          </cell>
          <cell r="AG8">
            <v>5089.9199999999973</v>
          </cell>
          <cell r="AH8">
            <v>0</v>
          </cell>
          <cell r="AI8">
            <v>378.59999999999991</v>
          </cell>
          <cell r="AJ8">
            <v>57705</v>
          </cell>
          <cell r="AK8">
            <v>25336</v>
          </cell>
          <cell r="AL8">
            <v>113500</v>
          </cell>
          <cell r="AN8">
            <v>25450</v>
          </cell>
        </row>
        <row r="9">
          <cell r="B9">
            <v>43272</v>
          </cell>
          <cell r="E9">
            <v>0.41666666666666669</v>
          </cell>
          <cell r="F9">
            <v>24</v>
          </cell>
          <cell r="L9">
            <v>0</v>
          </cell>
          <cell r="M9">
            <v>0</v>
          </cell>
          <cell r="N9">
            <v>73</v>
          </cell>
          <cell r="S9">
            <v>118.5</v>
          </cell>
          <cell r="V9">
            <v>8.6999999999999993</v>
          </cell>
          <cell r="Y9">
            <v>641.29999999999995</v>
          </cell>
          <cell r="AA9">
            <v>36.5</v>
          </cell>
          <cell r="AB9" t="str">
            <v>S</v>
          </cell>
          <cell r="AE9">
            <v>43272</v>
          </cell>
          <cell r="AF9">
            <v>0.41666666666666669</v>
          </cell>
          <cell r="AG9">
            <v>4962.7199999999975</v>
          </cell>
          <cell r="AH9">
            <v>0</v>
          </cell>
          <cell r="AI9">
            <v>378.59999999999991</v>
          </cell>
          <cell r="AJ9">
            <v>56984</v>
          </cell>
          <cell r="AK9">
            <v>25336</v>
          </cell>
          <cell r="AL9">
            <v>113500</v>
          </cell>
          <cell r="AN9">
            <v>25450</v>
          </cell>
        </row>
        <row r="10">
          <cell r="B10">
            <v>43272</v>
          </cell>
          <cell r="E10">
            <v>0.58333333333333337</v>
          </cell>
          <cell r="F10">
            <v>4</v>
          </cell>
          <cell r="L10">
            <v>0</v>
          </cell>
          <cell r="M10">
            <v>0</v>
          </cell>
          <cell r="N10">
            <v>75</v>
          </cell>
          <cell r="S10">
            <v>20.100000000000001</v>
          </cell>
          <cell r="V10">
            <v>1.5</v>
          </cell>
          <cell r="Y10">
            <v>111</v>
          </cell>
          <cell r="AA10">
            <v>6.6</v>
          </cell>
          <cell r="AB10" t="str">
            <v>S</v>
          </cell>
          <cell r="AE10">
            <v>43272</v>
          </cell>
          <cell r="AF10">
            <v>0.58333333333333337</v>
          </cell>
          <cell r="AG10">
            <v>4941.1199999999972</v>
          </cell>
          <cell r="AH10">
            <v>0</v>
          </cell>
          <cell r="AI10">
            <v>378.59999999999991</v>
          </cell>
          <cell r="AJ10">
            <v>56859</v>
          </cell>
          <cell r="AK10">
            <v>25336</v>
          </cell>
          <cell r="AL10">
            <v>113500</v>
          </cell>
          <cell r="AN10">
            <v>25450</v>
          </cell>
        </row>
        <row r="11">
          <cell r="B11">
            <v>43273</v>
          </cell>
          <cell r="E11">
            <v>0.41666666666666669</v>
          </cell>
          <cell r="F11">
            <v>21</v>
          </cell>
          <cell r="L11">
            <v>0</v>
          </cell>
          <cell r="M11">
            <v>0</v>
          </cell>
          <cell r="N11">
            <v>72.5</v>
          </cell>
          <cell r="S11">
            <v>100.8</v>
          </cell>
          <cell r="V11">
            <v>7.5</v>
          </cell>
          <cell r="Y11">
            <v>548</v>
          </cell>
          <cell r="AA11">
            <v>31.1</v>
          </cell>
          <cell r="AB11" t="str">
            <v>S</v>
          </cell>
          <cell r="AE11">
            <v>43273</v>
          </cell>
          <cell r="AF11">
            <v>0.41666666666666669</v>
          </cell>
          <cell r="AG11">
            <v>4832.819999999997</v>
          </cell>
          <cell r="AH11">
            <v>0</v>
          </cell>
          <cell r="AI11">
            <v>378.59999999999991</v>
          </cell>
          <cell r="AJ11">
            <v>56242</v>
          </cell>
          <cell r="AK11">
            <v>25336</v>
          </cell>
          <cell r="AL11">
            <v>113500</v>
          </cell>
          <cell r="AN11">
            <v>25450</v>
          </cell>
        </row>
        <row r="12">
          <cell r="B12">
            <v>43274</v>
          </cell>
          <cell r="E12">
            <v>0.41666666666666669</v>
          </cell>
          <cell r="F12">
            <v>25</v>
          </cell>
          <cell r="L12">
            <v>0</v>
          </cell>
          <cell r="M12">
            <v>0</v>
          </cell>
          <cell r="N12">
            <v>71.900000000000006</v>
          </cell>
          <cell r="S12">
            <v>128.5</v>
          </cell>
          <cell r="V12">
            <v>8.6</v>
          </cell>
          <cell r="Y12">
            <v>690.8</v>
          </cell>
          <cell r="AA12">
            <v>35.799999999999997</v>
          </cell>
          <cell r="AB12" t="str">
            <v>S</v>
          </cell>
          <cell r="AE12">
            <v>43274</v>
          </cell>
          <cell r="AF12">
            <v>0.41666666666666669</v>
          </cell>
          <cell r="AG12">
            <v>4695.7199999999966</v>
          </cell>
          <cell r="AH12">
            <v>0</v>
          </cell>
          <cell r="AI12">
            <v>378.59999999999991</v>
          </cell>
          <cell r="AJ12">
            <v>55462</v>
          </cell>
          <cell r="AK12">
            <v>25336</v>
          </cell>
          <cell r="AL12">
            <v>113500</v>
          </cell>
          <cell r="AN12">
            <v>25450</v>
          </cell>
        </row>
        <row r="13">
          <cell r="B13">
            <v>43275</v>
          </cell>
          <cell r="E13">
            <v>0.41666666666666669</v>
          </cell>
          <cell r="F13">
            <v>24</v>
          </cell>
          <cell r="L13">
            <v>0</v>
          </cell>
          <cell r="M13">
            <v>0</v>
          </cell>
          <cell r="N13">
            <v>65.7</v>
          </cell>
          <cell r="S13">
            <v>98.8</v>
          </cell>
          <cell r="V13">
            <v>7.9</v>
          </cell>
          <cell r="Y13">
            <v>540.4</v>
          </cell>
          <cell r="AA13">
            <v>31.8</v>
          </cell>
          <cell r="AB13" t="str">
            <v>S</v>
          </cell>
          <cell r="AE13">
            <v>43275</v>
          </cell>
          <cell r="AF13">
            <v>0.41666666666666669</v>
          </cell>
          <cell r="AG13">
            <v>4589.0199999999968</v>
          </cell>
          <cell r="AH13">
            <v>0</v>
          </cell>
          <cell r="AI13">
            <v>378.59999999999991</v>
          </cell>
          <cell r="AJ13">
            <v>54837</v>
          </cell>
          <cell r="AK13">
            <v>25336</v>
          </cell>
          <cell r="AL13">
            <v>113500</v>
          </cell>
          <cell r="AN13">
            <v>25450</v>
          </cell>
        </row>
        <row r="14">
          <cell r="B14">
            <v>43276</v>
          </cell>
          <cell r="E14">
            <v>0.41666666666666669</v>
          </cell>
          <cell r="F14">
            <v>25</v>
          </cell>
          <cell r="L14">
            <v>0</v>
          </cell>
          <cell r="M14">
            <v>0</v>
          </cell>
          <cell r="N14">
            <v>71.900000000000006</v>
          </cell>
          <cell r="S14">
            <v>120.7</v>
          </cell>
          <cell r="V14">
            <v>8.3000000000000007</v>
          </cell>
          <cell r="Y14">
            <v>654.70000000000005</v>
          </cell>
          <cell r="AA14">
            <v>34.299999999999997</v>
          </cell>
          <cell r="AB14" t="str">
            <v>S</v>
          </cell>
          <cell r="AE14">
            <v>43276</v>
          </cell>
          <cell r="AF14">
            <v>0.41666666666666669</v>
          </cell>
          <cell r="AG14">
            <v>4460.0199999999968</v>
          </cell>
          <cell r="AH14">
            <v>0</v>
          </cell>
          <cell r="AI14">
            <v>378.59999999999991</v>
          </cell>
          <cell r="AJ14">
            <v>54098</v>
          </cell>
          <cell r="AK14">
            <v>25336</v>
          </cell>
          <cell r="AL14">
            <v>113500</v>
          </cell>
          <cell r="AN14">
            <v>25450</v>
          </cell>
        </row>
        <row r="15">
          <cell r="B15">
            <v>43277</v>
          </cell>
          <cell r="E15">
            <v>0.41666666666666669</v>
          </cell>
          <cell r="F15">
            <v>24</v>
          </cell>
          <cell r="L15">
            <v>0</v>
          </cell>
          <cell r="M15">
            <v>0</v>
          </cell>
          <cell r="N15">
            <v>72.400000000000006</v>
          </cell>
          <cell r="S15">
            <v>122.8</v>
          </cell>
          <cell r="V15">
            <v>8.1999999999999993</v>
          </cell>
          <cell r="Y15">
            <v>650.20000000000005</v>
          </cell>
          <cell r="AA15">
            <v>33.4</v>
          </cell>
          <cell r="AB15" t="str">
            <v>S</v>
          </cell>
          <cell r="AE15">
            <v>43277</v>
          </cell>
          <cell r="AF15">
            <v>0.41666666666666669</v>
          </cell>
          <cell r="AG15">
            <v>4329.0199999999968</v>
          </cell>
          <cell r="AH15">
            <v>0</v>
          </cell>
          <cell r="AI15">
            <v>378.59999999999991</v>
          </cell>
          <cell r="AJ15">
            <v>53367</v>
          </cell>
          <cell r="AK15">
            <v>25336</v>
          </cell>
          <cell r="AL15">
            <v>113500</v>
          </cell>
          <cell r="AN15">
            <v>25450</v>
          </cell>
        </row>
        <row r="16">
          <cell r="B16">
            <v>43278</v>
          </cell>
          <cell r="E16">
            <v>0.41666666666666669</v>
          </cell>
          <cell r="F16">
            <v>25</v>
          </cell>
          <cell r="L16">
            <v>0</v>
          </cell>
          <cell r="M16">
            <v>0</v>
          </cell>
          <cell r="N16">
            <v>72.599999999999994</v>
          </cell>
          <cell r="S16">
            <v>126.5</v>
          </cell>
          <cell r="V16">
            <v>8.6</v>
          </cell>
          <cell r="Y16">
            <v>671.4</v>
          </cell>
          <cell r="AA16">
            <v>35.1</v>
          </cell>
          <cell r="AB16" t="str">
            <v>S</v>
          </cell>
          <cell r="AE16">
            <v>43278</v>
          </cell>
          <cell r="AF16">
            <v>0.41666666666666669</v>
          </cell>
          <cell r="AG16">
            <v>4193.9199999999964</v>
          </cell>
          <cell r="AH16">
            <v>0</v>
          </cell>
          <cell r="AI16">
            <v>378.59999999999991</v>
          </cell>
          <cell r="AJ16">
            <v>52609</v>
          </cell>
          <cell r="AK16">
            <v>25336</v>
          </cell>
          <cell r="AL16">
            <v>113500</v>
          </cell>
          <cell r="AN16">
            <v>25450</v>
          </cell>
        </row>
        <row r="17">
          <cell r="B17">
            <v>43279</v>
          </cell>
          <cell r="E17">
            <v>0.41666666666666669</v>
          </cell>
          <cell r="F17">
            <v>25</v>
          </cell>
          <cell r="L17">
            <v>0</v>
          </cell>
          <cell r="M17">
            <v>0</v>
          </cell>
          <cell r="N17">
            <v>73</v>
          </cell>
          <cell r="S17">
            <v>125.6</v>
          </cell>
          <cell r="V17">
            <v>8.6</v>
          </cell>
          <cell r="Y17">
            <v>669.4</v>
          </cell>
          <cell r="AA17">
            <v>35</v>
          </cell>
          <cell r="AB17" t="str">
            <v>S</v>
          </cell>
          <cell r="AE17">
            <v>43279</v>
          </cell>
          <cell r="AF17">
            <v>0.41666666666666669</v>
          </cell>
          <cell r="AG17">
            <v>4059.7199999999966</v>
          </cell>
          <cell r="AH17">
            <v>0</v>
          </cell>
          <cell r="AI17">
            <v>378.59999999999991</v>
          </cell>
          <cell r="AJ17">
            <v>51855</v>
          </cell>
          <cell r="AK17">
            <v>25336</v>
          </cell>
          <cell r="AL17">
            <v>113500</v>
          </cell>
          <cell r="AN17">
            <v>25450</v>
          </cell>
        </row>
        <row r="18">
          <cell r="B18">
            <v>43280</v>
          </cell>
          <cell r="E18">
            <v>0.41666666666666669</v>
          </cell>
          <cell r="F18">
            <v>24</v>
          </cell>
          <cell r="L18">
            <v>0</v>
          </cell>
          <cell r="M18">
            <v>0</v>
          </cell>
          <cell r="N18">
            <v>73.7</v>
          </cell>
          <cell r="S18">
            <v>121.1</v>
          </cell>
          <cell r="V18">
            <v>8.6</v>
          </cell>
          <cell r="Y18">
            <v>637</v>
          </cell>
          <cell r="AA18">
            <v>35.200000000000003</v>
          </cell>
          <cell r="AB18" t="str">
            <v>S</v>
          </cell>
          <cell r="AE18">
            <v>43280</v>
          </cell>
          <cell r="AF18">
            <v>0.41666666666666669</v>
          </cell>
          <cell r="AG18">
            <v>3930.0199999999968</v>
          </cell>
          <cell r="AH18">
            <v>0</v>
          </cell>
          <cell r="AI18">
            <v>378.59999999999991</v>
          </cell>
          <cell r="AJ18">
            <v>52135</v>
          </cell>
          <cell r="AK18">
            <v>25336</v>
          </cell>
          <cell r="AL18">
            <v>113500</v>
          </cell>
          <cell r="AN18">
            <v>25450</v>
          </cell>
        </row>
        <row r="19">
          <cell r="B19">
            <v>43281</v>
          </cell>
          <cell r="E19">
            <v>0.41666666666666669</v>
          </cell>
          <cell r="F19">
            <v>25</v>
          </cell>
          <cell r="L19">
            <v>0</v>
          </cell>
          <cell r="M19">
            <v>0</v>
          </cell>
          <cell r="N19">
            <v>73.400000000000006</v>
          </cell>
          <cell r="S19">
            <v>120.4</v>
          </cell>
          <cell r="V19">
            <v>9.1</v>
          </cell>
          <cell r="Y19">
            <v>638</v>
          </cell>
          <cell r="AA19">
            <v>37.1</v>
          </cell>
          <cell r="AB19" t="str">
            <v>S</v>
          </cell>
          <cell r="AE19">
            <v>43281</v>
          </cell>
          <cell r="AF19">
            <v>0.41666666666666669</v>
          </cell>
          <cell r="AG19">
            <v>3800.5199999999968</v>
          </cell>
          <cell r="AH19">
            <v>0</v>
          </cell>
          <cell r="AI19">
            <v>378.59999999999991</v>
          </cell>
          <cell r="AJ19">
            <v>51410</v>
          </cell>
          <cell r="AK19">
            <v>25336</v>
          </cell>
          <cell r="AL19">
            <v>113500</v>
          </cell>
          <cell r="AN19">
            <v>25450</v>
          </cell>
        </row>
        <row r="20">
          <cell r="B20">
            <v>43282</v>
          </cell>
          <cell r="C20" t="str">
            <v>EOSP</v>
          </cell>
          <cell r="E20">
            <v>0.14583333333333334</v>
          </cell>
          <cell r="F20">
            <v>17.5</v>
          </cell>
          <cell r="L20">
            <v>0</v>
          </cell>
          <cell r="M20">
            <v>0</v>
          </cell>
          <cell r="N20">
            <v>69.3</v>
          </cell>
          <cell r="S20">
            <v>70</v>
          </cell>
          <cell r="V20">
            <v>6.4</v>
          </cell>
          <cell r="Y20">
            <v>376.4</v>
          </cell>
          <cell r="AA20">
            <v>26</v>
          </cell>
          <cell r="AB20" t="str">
            <v>S</v>
          </cell>
          <cell r="AE20">
            <v>43282</v>
          </cell>
          <cell r="AF20">
            <v>0.14583333333333334</v>
          </cell>
          <cell r="AG20">
            <v>3724.1199999999967</v>
          </cell>
          <cell r="AH20">
            <v>0</v>
          </cell>
          <cell r="AI20">
            <v>378.59999999999991</v>
          </cell>
          <cell r="AJ20">
            <v>50977</v>
          </cell>
          <cell r="AK20">
            <v>25336</v>
          </cell>
          <cell r="AL20">
            <v>113500</v>
          </cell>
          <cell r="AN20">
            <v>25450</v>
          </cell>
        </row>
        <row r="21">
          <cell r="B21">
            <v>43282</v>
          </cell>
          <cell r="C21" t="str">
            <v>Arriv Sep.</v>
          </cell>
          <cell r="E21">
            <v>0.35416666666666669</v>
          </cell>
          <cell r="F21">
            <v>5</v>
          </cell>
          <cell r="L21">
            <v>0</v>
          </cell>
          <cell r="M21">
            <v>0</v>
          </cell>
          <cell r="N21">
            <v>36.200000000000003</v>
          </cell>
          <cell r="S21">
            <v>6.3</v>
          </cell>
          <cell r="V21">
            <v>2.2000000000000002</v>
          </cell>
          <cell r="Y21">
            <v>32</v>
          </cell>
          <cell r="AA21">
            <v>8.5</v>
          </cell>
          <cell r="AB21" t="str">
            <v>R</v>
          </cell>
          <cell r="AE21">
            <v>43282</v>
          </cell>
          <cell r="AF21">
            <v>0.35416666666666669</v>
          </cell>
          <cell r="AG21">
            <v>3715.5199999999968</v>
          </cell>
          <cell r="AH21">
            <v>0</v>
          </cell>
          <cell r="AI21">
            <v>378.59999999999991</v>
          </cell>
          <cell r="AJ21">
            <v>50927</v>
          </cell>
          <cell r="AK21">
            <v>25336</v>
          </cell>
          <cell r="AL21">
            <v>113500</v>
          </cell>
          <cell r="AN21">
            <v>25450</v>
          </cell>
        </row>
        <row r="22">
          <cell r="B22">
            <v>43283</v>
          </cell>
          <cell r="C22" t="str">
            <v>Dep.Sep.</v>
          </cell>
          <cell r="E22">
            <v>0.33749999999999997</v>
          </cell>
          <cell r="F22">
            <v>23.599999999999998</v>
          </cell>
          <cell r="L22">
            <v>0</v>
          </cell>
          <cell r="M22">
            <v>0</v>
          </cell>
          <cell r="V22">
            <v>6.6</v>
          </cell>
          <cell r="AB22" t="str">
            <v>P</v>
          </cell>
          <cell r="AE22">
            <v>43283</v>
          </cell>
          <cell r="AF22">
            <v>0.33749999999999997</v>
          </cell>
          <cell r="AG22">
            <v>3706.7199999999971</v>
          </cell>
          <cell r="AH22">
            <v>0</v>
          </cell>
          <cell r="AI22">
            <v>378.59999999999991</v>
          </cell>
          <cell r="AJ22">
            <v>50927</v>
          </cell>
          <cell r="AK22">
            <v>25336</v>
          </cell>
          <cell r="AL22">
            <v>113500</v>
          </cell>
          <cell r="AN22">
            <v>25450</v>
          </cell>
        </row>
        <row r="23">
          <cell r="B23">
            <v>43283</v>
          </cell>
          <cell r="E23">
            <v>0.4375</v>
          </cell>
          <cell r="F23">
            <v>2.4000000000000008</v>
          </cell>
          <cell r="L23">
            <v>0</v>
          </cell>
          <cell r="M23">
            <v>0</v>
          </cell>
          <cell r="N23">
            <v>39.6</v>
          </cell>
          <cell r="S23">
            <v>3.8</v>
          </cell>
          <cell r="V23">
            <v>1.6</v>
          </cell>
          <cell r="AB23" t="str">
            <v>R</v>
          </cell>
          <cell r="AE23">
            <v>43283</v>
          </cell>
          <cell r="AF23">
            <v>0.4375</v>
          </cell>
          <cell r="AG23">
            <v>3701.2199999999971</v>
          </cell>
          <cell r="AH23">
            <v>0</v>
          </cell>
          <cell r="AI23">
            <v>378.59999999999991</v>
          </cell>
          <cell r="AJ23">
            <v>50875</v>
          </cell>
          <cell r="AK23">
            <v>25336</v>
          </cell>
          <cell r="AL23">
            <v>113500</v>
          </cell>
          <cell r="AN23">
            <v>25450</v>
          </cell>
        </row>
        <row r="24">
          <cell r="B24">
            <v>43284</v>
          </cell>
          <cell r="C24" t="str">
            <v>Arrv. Santos</v>
          </cell>
          <cell r="E24">
            <v>2.9166666666666664E-2</v>
          </cell>
          <cell r="F24">
            <v>14.2</v>
          </cell>
          <cell r="L24">
            <v>0</v>
          </cell>
          <cell r="M24">
            <v>0</v>
          </cell>
          <cell r="N24">
            <v>47</v>
          </cell>
          <cell r="S24">
            <v>24.6</v>
          </cell>
          <cell r="V24">
            <v>4.8</v>
          </cell>
          <cell r="Y24">
            <v>126.7</v>
          </cell>
          <cell r="AA24">
            <v>19.2</v>
          </cell>
          <cell r="AB24" t="str">
            <v>R</v>
          </cell>
          <cell r="AE24">
            <v>43284</v>
          </cell>
          <cell r="AF24">
            <v>2.9166666666666664E-2</v>
          </cell>
          <cell r="AG24">
            <v>3671.319999999997</v>
          </cell>
          <cell r="AH24">
            <v>0</v>
          </cell>
          <cell r="AI24">
            <v>378.59999999999991</v>
          </cell>
          <cell r="AJ24">
            <v>50702</v>
          </cell>
          <cell r="AK24">
            <v>25336</v>
          </cell>
          <cell r="AL24">
            <v>113500</v>
          </cell>
          <cell r="AN24">
            <v>25450</v>
          </cell>
        </row>
        <row r="25">
          <cell r="B25">
            <v>43284</v>
          </cell>
          <cell r="E25">
            <v>0.41666666666666669</v>
          </cell>
          <cell r="F25">
            <v>9.3000000000000007</v>
          </cell>
          <cell r="L25">
            <v>0</v>
          </cell>
          <cell r="M25">
            <v>0</v>
          </cell>
          <cell r="V25">
            <v>2.5</v>
          </cell>
          <cell r="AB25" t="str">
            <v>P</v>
          </cell>
          <cell r="AE25">
            <v>43284</v>
          </cell>
          <cell r="AF25">
            <v>0.41666666666666669</v>
          </cell>
          <cell r="AG25">
            <v>3668.319999999997</v>
          </cell>
          <cell r="AH25">
            <v>0</v>
          </cell>
          <cell r="AI25">
            <v>378.59999999999991</v>
          </cell>
          <cell r="AJ25">
            <v>50702</v>
          </cell>
          <cell r="AK25">
            <v>25336</v>
          </cell>
          <cell r="AL25">
            <v>113500</v>
          </cell>
          <cell r="AN25">
            <v>25450</v>
          </cell>
        </row>
        <row r="26">
          <cell r="B26">
            <v>43285</v>
          </cell>
          <cell r="E26">
            <v>0.41666666666666669</v>
          </cell>
          <cell r="F26">
            <v>24</v>
          </cell>
          <cell r="L26">
            <v>0</v>
          </cell>
          <cell r="M26">
            <v>0</v>
          </cell>
          <cell r="V26">
            <v>5.4</v>
          </cell>
          <cell r="AB26" t="str">
            <v>P</v>
          </cell>
          <cell r="AE26">
            <v>43285</v>
          </cell>
          <cell r="AF26">
            <v>0.41666666666666669</v>
          </cell>
          <cell r="AG26">
            <v>3662.4199999999969</v>
          </cell>
          <cell r="AH26">
            <v>0</v>
          </cell>
          <cell r="AI26">
            <v>378.59999999999991</v>
          </cell>
          <cell r="AJ26">
            <v>50702</v>
          </cell>
          <cell r="AK26">
            <v>25336</v>
          </cell>
          <cell r="AL26">
            <v>113500</v>
          </cell>
          <cell r="AN26">
            <v>25450</v>
          </cell>
        </row>
        <row r="27">
          <cell r="B27">
            <v>43286</v>
          </cell>
          <cell r="C27" t="str">
            <v>Dep. Santos</v>
          </cell>
          <cell r="E27">
            <v>0.45</v>
          </cell>
          <cell r="F27">
            <v>24.8</v>
          </cell>
          <cell r="L27">
            <v>0</v>
          </cell>
          <cell r="M27">
            <v>0</v>
          </cell>
          <cell r="V27">
            <v>5.9</v>
          </cell>
          <cell r="AB27" t="str">
            <v>P</v>
          </cell>
          <cell r="AE27">
            <v>43286</v>
          </cell>
          <cell r="AF27">
            <v>0.45</v>
          </cell>
          <cell r="AG27">
            <v>3655.7199999999966</v>
          </cell>
          <cell r="AH27">
            <v>0</v>
          </cell>
          <cell r="AI27">
            <v>378.59999999999991</v>
          </cell>
          <cell r="AJ27">
            <v>50702</v>
          </cell>
          <cell r="AK27">
            <v>25336</v>
          </cell>
          <cell r="AL27">
            <v>113500</v>
          </cell>
          <cell r="AN27">
            <v>25450</v>
          </cell>
        </row>
        <row r="28">
          <cell r="B28">
            <v>43286</v>
          </cell>
          <cell r="C28" t="str">
            <v xml:space="preserve">Closing </v>
          </cell>
          <cell r="E28">
            <v>0.52083333333333337</v>
          </cell>
          <cell r="F28">
            <v>1.7000000000000006</v>
          </cell>
          <cell r="L28">
            <v>0</v>
          </cell>
          <cell r="M28">
            <v>0</v>
          </cell>
          <cell r="S28">
            <v>1.8</v>
          </cell>
          <cell r="V28">
            <v>0.8</v>
          </cell>
          <cell r="Y28">
            <v>6.7</v>
          </cell>
          <cell r="AA28">
            <v>3</v>
          </cell>
          <cell r="AB28" t="str">
            <v>R</v>
          </cell>
          <cell r="AE28">
            <v>43286</v>
          </cell>
          <cell r="AF28">
            <v>0.52083333333333337</v>
          </cell>
          <cell r="AG28">
            <v>3653.0199999999963</v>
          </cell>
          <cell r="AH28">
            <v>0</v>
          </cell>
          <cell r="AI28">
            <v>378.59999999999991</v>
          </cell>
          <cell r="AJ28">
            <v>50687</v>
          </cell>
          <cell r="AK28">
            <v>25336</v>
          </cell>
          <cell r="AL28">
            <v>113500</v>
          </cell>
          <cell r="AN28">
            <v>25450</v>
          </cell>
        </row>
        <row r="29">
          <cell r="B29">
            <v>43287</v>
          </cell>
          <cell r="C29" t="str">
            <v>Arrv. Paranagua</v>
          </cell>
          <cell r="E29">
            <v>0.21666666666666667</v>
          </cell>
          <cell r="F29">
            <v>16.7</v>
          </cell>
          <cell r="L29">
            <v>0</v>
          </cell>
          <cell r="M29">
            <v>0</v>
          </cell>
          <cell r="S29">
            <v>29.6</v>
          </cell>
          <cell r="V29">
            <v>4.5</v>
          </cell>
          <cell r="Y29">
            <v>156.19999999999999</v>
          </cell>
          <cell r="AA29">
            <v>17</v>
          </cell>
          <cell r="AB29" t="str">
            <v>R</v>
          </cell>
          <cell r="AE29">
            <v>43287</v>
          </cell>
          <cell r="AF29">
            <v>0.21666666666666667</v>
          </cell>
          <cell r="AG29">
            <v>3618.7199999999966</v>
          </cell>
          <cell r="AH29">
            <v>0</v>
          </cell>
          <cell r="AI29">
            <v>378.59999999999991</v>
          </cell>
          <cell r="AJ29">
            <v>50496</v>
          </cell>
          <cell r="AK29">
            <v>25336</v>
          </cell>
          <cell r="AL29">
            <v>113500</v>
          </cell>
          <cell r="AN29">
            <v>25450</v>
          </cell>
        </row>
        <row r="30">
          <cell r="B30">
            <v>43287</v>
          </cell>
          <cell r="C30" t="str">
            <v>Dep. Paranagua</v>
          </cell>
          <cell r="E30">
            <v>0.84583333333333333</v>
          </cell>
          <cell r="F30">
            <v>15.1</v>
          </cell>
          <cell r="L30">
            <v>0</v>
          </cell>
          <cell r="M30">
            <v>0</v>
          </cell>
          <cell r="V30">
            <v>4</v>
          </cell>
          <cell r="AB30" t="str">
            <v>P</v>
          </cell>
          <cell r="AE30">
            <v>43287</v>
          </cell>
          <cell r="AF30">
            <v>0.84583333333333333</v>
          </cell>
          <cell r="AG30">
            <v>3613.9199999999964</v>
          </cell>
          <cell r="AH30">
            <v>0</v>
          </cell>
          <cell r="AI30">
            <v>378.59999999999991</v>
          </cell>
          <cell r="AJ30">
            <v>50480</v>
          </cell>
          <cell r="AK30">
            <v>25336</v>
          </cell>
          <cell r="AL30">
            <v>113500</v>
          </cell>
          <cell r="AN30">
            <v>25450</v>
          </cell>
        </row>
        <row r="31">
          <cell r="B31">
            <v>43287</v>
          </cell>
          <cell r="C31" t="str">
            <v xml:space="preserve">Closing </v>
          </cell>
          <cell r="E31">
            <v>0.92499999999999993</v>
          </cell>
          <cell r="F31">
            <v>1.8999999999999986</v>
          </cell>
          <cell r="L31">
            <v>0</v>
          </cell>
          <cell r="M31">
            <v>0</v>
          </cell>
          <cell r="S31">
            <v>3.8</v>
          </cell>
          <cell r="V31">
            <v>0.8</v>
          </cell>
          <cell r="AB31" t="str">
            <v>R</v>
          </cell>
          <cell r="AE31">
            <v>43287</v>
          </cell>
          <cell r="AF31">
            <v>0.92499999999999993</v>
          </cell>
          <cell r="AG31">
            <v>3609.3199999999961</v>
          </cell>
          <cell r="AH31">
            <v>0</v>
          </cell>
          <cell r="AI31">
            <v>378.59999999999991</v>
          </cell>
          <cell r="AJ31">
            <v>50452</v>
          </cell>
          <cell r="AK31">
            <v>25336</v>
          </cell>
          <cell r="AL31">
            <v>113500</v>
          </cell>
          <cell r="AN31">
            <v>25450</v>
          </cell>
        </row>
        <row r="32">
          <cell r="B32">
            <v>43288</v>
          </cell>
          <cell r="C32" t="str">
            <v>Sea</v>
          </cell>
          <cell r="E32">
            <v>0.41666666666666669</v>
          </cell>
          <cell r="F32">
            <v>11.8</v>
          </cell>
          <cell r="L32">
            <v>0</v>
          </cell>
          <cell r="M32">
            <v>0</v>
          </cell>
          <cell r="N32">
            <v>68.900000000000006</v>
          </cell>
          <cell r="S32">
            <v>48.6</v>
          </cell>
          <cell r="V32">
            <v>3.5</v>
          </cell>
          <cell r="Y32">
            <v>258.10000000000002</v>
          </cell>
          <cell r="AA32">
            <v>14.4</v>
          </cell>
          <cell r="AB32" t="str">
            <v>S</v>
          </cell>
          <cell r="AE32">
            <v>43288</v>
          </cell>
          <cell r="AF32">
            <v>0.41666666666666669</v>
          </cell>
          <cell r="AG32">
            <v>3557.2199999999962</v>
          </cell>
          <cell r="AH32">
            <v>0</v>
          </cell>
          <cell r="AI32">
            <v>378.59999999999991</v>
          </cell>
          <cell r="AJ32">
            <v>50178</v>
          </cell>
          <cell r="AK32">
            <v>25336</v>
          </cell>
          <cell r="AL32">
            <v>113500</v>
          </cell>
          <cell r="AN32">
            <v>25450</v>
          </cell>
        </row>
        <row r="33">
          <cell r="B33">
            <v>43289</v>
          </cell>
          <cell r="C33" t="str">
            <v>Sea</v>
          </cell>
          <cell r="E33">
            <v>0.47916666666666669</v>
          </cell>
          <cell r="F33">
            <v>25.5</v>
          </cell>
          <cell r="L33">
            <v>0</v>
          </cell>
          <cell r="M33">
            <v>0</v>
          </cell>
          <cell r="N33">
            <v>73.400000000000006</v>
          </cell>
          <cell r="S33">
            <v>125.8</v>
          </cell>
          <cell r="V33">
            <v>7.6</v>
          </cell>
          <cell r="Y33">
            <v>665.4</v>
          </cell>
          <cell r="AA33">
            <v>30.4</v>
          </cell>
          <cell r="AB33" t="str">
            <v>S</v>
          </cell>
          <cell r="AE33">
            <v>43289</v>
          </cell>
          <cell r="AF33">
            <v>0.47916666666666669</v>
          </cell>
          <cell r="AG33">
            <v>3423.8199999999961</v>
          </cell>
          <cell r="AH33">
            <v>0</v>
          </cell>
          <cell r="AI33">
            <v>378.59999999999991</v>
          </cell>
          <cell r="AJ33">
            <v>49488</v>
          </cell>
          <cell r="AK33">
            <v>25336</v>
          </cell>
          <cell r="AL33">
            <v>113500</v>
          </cell>
          <cell r="AN33">
            <v>25450</v>
          </cell>
        </row>
        <row r="34">
          <cell r="B34">
            <v>43290</v>
          </cell>
          <cell r="C34" t="str">
            <v>Arriv BUE</v>
          </cell>
          <cell r="E34">
            <v>0.44166666666666665</v>
          </cell>
          <cell r="F34">
            <v>23.1</v>
          </cell>
          <cell r="L34">
            <v>0</v>
          </cell>
          <cell r="M34">
            <v>0</v>
          </cell>
          <cell r="N34">
            <v>32.1</v>
          </cell>
          <cell r="S34">
            <v>32.799999999999997</v>
          </cell>
          <cell r="V34">
            <v>7.8</v>
          </cell>
          <cell r="Y34">
            <v>160</v>
          </cell>
          <cell r="AA34">
            <v>30.2</v>
          </cell>
          <cell r="AB34" t="str">
            <v>R</v>
          </cell>
          <cell r="AE34">
            <v>43290</v>
          </cell>
          <cell r="AF34">
            <v>0.44166666666666665</v>
          </cell>
          <cell r="AG34">
            <v>3382.8199999999956</v>
          </cell>
          <cell r="AH34">
            <v>0</v>
          </cell>
          <cell r="AI34">
            <v>378.59999999999991</v>
          </cell>
          <cell r="AJ34">
            <v>49276</v>
          </cell>
          <cell r="AK34">
            <v>25336</v>
          </cell>
          <cell r="AL34">
            <v>113500</v>
          </cell>
          <cell r="AN34">
            <v>25450</v>
          </cell>
        </row>
        <row r="35">
          <cell r="B35">
            <v>43291</v>
          </cell>
          <cell r="C35" t="str">
            <v>Dep. BUE</v>
          </cell>
          <cell r="E35">
            <v>0.97916666666666663</v>
          </cell>
          <cell r="F35">
            <v>36.9</v>
          </cell>
          <cell r="L35">
            <v>0</v>
          </cell>
          <cell r="M35">
            <v>0</v>
          </cell>
          <cell r="V35">
            <v>9.6999999999999993</v>
          </cell>
          <cell r="AB35" t="str">
            <v>P</v>
          </cell>
          <cell r="AE35">
            <v>43291</v>
          </cell>
          <cell r="AF35">
            <v>0.97916666666666663</v>
          </cell>
          <cell r="AG35">
            <v>3370.5199999999959</v>
          </cell>
          <cell r="AH35">
            <v>0</v>
          </cell>
          <cell r="AI35">
            <v>378.59999999999991</v>
          </cell>
          <cell r="AJ35">
            <v>49276</v>
          </cell>
          <cell r="AK35">
            <v>25336</v>
          </cell>
          <cell r="AL35">
            <v>113500</v>
          </cell>
          <cell r="AN35">
            <v>25450</v>
          </cell>
        </row>
        <row r="36">
          <cell r="B36">
            <v>43292</v>
          </cell>
          <cell r="C36" t="str">
            <v xml:space="preserve">Closing </v>
          </cell>
          <cell r="E36">
            <v>0.45833333333333331</v>
          </cell>
          <cell r="F36">
            <v>11.500000000000002</v>
          </cell>
          <cell r="L36">
            <v>0</v>
          </cell>
          <cell r="M36">
            <v>0</v>
          </cell>
          <cell r="S36">
            <v>18.899999999999999</v>
          </cell>
          <cell r="V36">
            <v>4.5999999999999996</v>
          </cell>
          <cell r="AB36" t="str">
            <v>R</v>
          </cell>
          <cell r="AE36">
            <v>43292</v>
          </cell>
          <cell r="AF36">
            <v>0.45833333333333331</v>
          </cell>
          <cell r="AG36">
            <v>3346.5199999999959</v>
          </cell>
          <cell r="AH36">
            <v>0</v>
          </cell>
          <cell r="AI36">
            <v>378.59999999999991</v>
          </cell>
          <cell r="AJ36">
            <v>49112</v>
          </cell>
          <cell r="AK36">
            <v>25336</v>
          </cell>
          <cell r="AL36">
            <v>113500</v>
          </cell>
          <cell r="AN36">
            <v>25450</v>
          </cell>
        </row>
        <row r="37">
          <cell r="B37">
            <v>43293</v>
          </cell>
          <cell r="C37" t="str">
            <v>Arrival Montevideo</v>
          </cell>
          <cell r="E37">
            <v>0.20416666666666669</v>
          </cell>
          <cell r="F37">
            <v>17.899999999999999</v>
          </cell>
          <cell r="L37">
            <v>0</v>
          </cell>
          <cell r="M37">
            <v>0</v>
          </cell>
          <cell r="N37">
            <v>5.5</v>
          </cell>
          <cell r="S37">
            <v>2.5</v>
          </cell>
          <cell r="V37">
            <v>5.9</v>
          </cell>
          <cell r="Y37">
            <v>13.1</v>
          </cell>
          <cell r="AB37" t="str">
            <v>R</v>
          </cell>
          <cell r="AE37">
            <v>43293</v>
          </cell>
          <cell r="AF37">
            <v>0.20416666666666669</v>
          </cell>
          <cell r="AG37">
            <v>3337.6199999999958</v>
          </cell>
          <cell r="AH37">
            <v>0</v>
          </cell>
          <cell r="AI37">
            <v>378.59999999999991</v>
          </cell>
          <cell r="AJ37">
            <v>49075</v>
          </cell>
          <cell r="AK37">
            <v>25336</v>
          </cell>
          <cell r="AL37">
            <v>113500</v>
          </cell>
          <cell r="AN37">
            <v>25450</v>
          </cell>
        </row>
        <row r="38">
          <cell r="B38">
            <v>43293</v>
          </cell>
          <cell r="C38" t="str">
            <v>Departure Montevideo</v>
          </cell>
          <cell r="E38">
            <v>0.91249999999999998</v>
          </cell>
          <cell r="F38">
            <v>17</v>
          </cell>
          <cell r="L38">
            <v>0</v>
          </cell>
          <cell r="M38">
            <v>0</v>
          </cell>
          <cell r="V38">
            <v>5.9</v>
          </cell>
          <cell r="AB38" t="str">
            <v>P</v>
          </cell>
          <cell r="AE38">
            <v>43293</v>
          </cell>
          <cell r="AF38">
            <v>0.91249999999999998</v>
          </cell>
          <cell r="AG38">
            <v>3331.0199999999959</v>
          </cell>
          <cell r="AH38">
            <v>0</v>
          </cell>
          <cell r="AI38">
            <v>378.59999999999991</v>
          </cell>
          <cell r="AJ38">
            <v>49075</v>
          </cell>
          <cell r="AK38">
            <v>25336</v>
          </cell>
          <cell r="AL38">
            <v>113500</v>
          </cell>
          <cell r="AN38">
            <v>25450</v>
          </cell>
        </row>
        <row r="39">
          <cell r="B39">
            <v>43293</v>
          </cell>
          <cell r="C39" t="str">
            <v xml:space="preserve">Closing </v>
          </cell>
          <cell r="E39">
            <v>0.96250000000000002</v>
          </cell>
          <cell r="F39">
            <v>1.2000000000000011</v>
          </cell>
          <cell r="L39">
            <v>0</v>
          </cell>
          <cell r="M39">
            <v>0</v>
          </cell>
          <cell r="S39">
            <v>1.5</v>
          </cell>
          <cell r="V39">
            <v>0.5</v>
          </cell>
          <cell r="AB39" t="str">
            <v>R</v>
          </cell>
          <cell r="AE39">
            <v>43293</v>
          </cell>
          <cell r="AF39">
            <v>0.96250000000000002</v>
          </cell>
          <cell r="AG39">
            <v>3329.0199999999959</v>
          </cell>
          <cell r="AH39">
            <v>0</v>
          </cell>
          <cell r="AI39">
            <v>378.59999999999991</v>
          </cell>
          <cell r="AJ39">
            <v>49045</v>
          </cell>
          <cell r="AK39">
            <v>25336</v>
          </cell>
          <cell r="AL39">
            <v>113500</v>
          </cell>
          <cell r="AN39">
            <v>25450</v>
          </cell>
        </row>
        <row r="40">
          <cell r="B40">
            <v>43294</v>
          </cell>
          <cell r="C40" t="str">
            <v>Sea</v>
          </cell>
          <cell r="E40">
            <v>0.41666666666666669</v>
          </cell>
          <cell r="F40">
            <v>10.899999999999999</v>
          </cell>
          <cell r="L40">
            <v>0</v>
          </cell>
          <cell r="M40">
            <v>0</v>
          </cell>
          <cell r="N40">
            <v>69.3</v>
          </cell>
          <cell r="S40">
            <v>48.9</v>
          </cell>
          <cell r="V40">
            <v>3.9</v>
          </cell>
          <cell r="Y40">
            <v>255.8</v>
          </cell>
          <cell r="AA40">
            <v>15.9</v>
          </cell>
          <cell r="AB40" t="str">
            <v>R</v>
          </cell>
          <cell r="AE40">
            <v>43294</v>
          </cell>
          <cell r="AF40">
            <v>0.41666666666666669</v>
          </cell>
          <cell r="AG40">
            <v>3276.2199999999957</v>
          </cell>
          <cell r="AH40">
            <v>0</v>
          </cell>
          <cell r="AI40">
            <v>378.59999999999991</v>
          </cell>
          <cell r="AJ40">
            <v>48770</v>
          </cell>
          <cell r="AK40">
            <v>25336</v>
          </cell>
          <cell r="AL40">
            <v>113500</v>
          </cell>
          <cell r="AN40">
            <v>25450</v>
          </cell>
        </row>
        <row r="41">
          <cell r="B41">
            <v>43295</v>
          </cell>
          <cell r="C41" t="str">
            <v>Sea</v>
          </cell>
          <cell r="E41">
            <v>0.41666666666666669</v>
          </cell>
          <cell r="F41">
            <v>24</v>
          </cell>
          <cell r="L41">
            <v>0</v>
          </cell>
          <cell r="M41">
            <v>0</v>
          </cell>
          <cell r="S41">
            <v>37.9</v>
          </cell>
          <cell r="V41">
            <v>10.1</v>
          </cell>
          <cell r="Y41">
            <v>195</v>
          </cell>
          <cell r="AA41">
            <v>41.7</v>
          </cell>
          <cell r="AB41" t="str">
            <v>S</v>
          </cell>
          <cell r="AE41">
            <v>43295</v>
          </cell>
          <cell r="AF41">
            <v>0.41666666666666669</v>
          </cell>
          <cell r="AG41">
            <v>3227.9199999999955</v>
          </cell>
          <cell r="AH41">
            <v>0</v>
          </cell>
          <cell r="AI41">
            <v>378.59999999999991</v>
          </cell>
          <cell r="AJ41">
            <v>48517</v>
          </cell>
          <cell r="AK41">
            <v>25336</v>
          </cell>
          <cell r="AL41">
            <v>113500</v>
          </cell>
          <cell r="AN41">
            <v>25450</v>
          </cell>
        </row>
        <row r="42">
          <cell r="B42">
            <v>43295</v>
          </cell>
          <cell r="C42" t="str">
            <v xml:space="preserve">Closing </v>
          </cell>
          <cell r="E42">
            <v>0.58333333333333337</v>
          </cell>
          <cell r="F42">
            <v>4</v>
          </cell>
          <cell r="L42">
            <v>0</v>
          </cell>
          <cell r="M42">
            <v>0</v>
          </cell>
          <cell r="S42">
            <v>5.2</v>
          </cell>
          <cell r="V42">
            <v>1.7</v>
          </cell>
          <cell r="Y42">
            <v>21.3</v>
          </cell>
          <cell r="AA42">
            <v>7.2</v>
          </cell>
          <cell r="AB42" t="str">
            <v>S</v>
          </cell>
          <cell r="AE42">
            <v>43295</v>
          </cell>
          <cell r="AF42">
            <v>0.58333333333333337</v>
          </cell>
          <cell r="AG42">
            <v>3220.919999999996</v>
          </cell>
          <cell r="AH42">
            <v>0</v>
          </cell>
          <cell r="AI42">
            <v>378.59999999999991</v>
          </cell>
          <cell r="AJ42">
            <v>48481</v>
          </cell>
          <cell r="AK42">
            <v>25336</v>
          </cell>
          <cell r="AL42">
            <v>113500</v>
          </cell>
          <cell r="AN42">
            <v>25450</v>
          </cell>
        </row>
        <row r="43">
          <cell r="B43">
            <v>43295</v>
          </cell>
          <cell r="C43" t="str">
            <v>Arriv. Imbituba</v>
          </cell>
          <cell r="E43">
            <v>0.72083333333333333</v>
          </cell>
          <cell r="F43">
            <v>3.2999999999999989</v>
          </cell>
          <cell r="L43">
            <v>0</v>
          </cell>
          <cell r="M43">
            <v>0</v>
          </cell>
          <cell r="S43">
            <v>2.4</v>
          </cell>
          <cell r="V43">
            <v>1.7</v>
          </cell>
          <cell r="Y43">
            <v>8.9</v>
          </cell>
          <cell r="AA43">
            <v>6.7</v>
          </cell>
          <cell r="AB43" t="str">
            <v>R</v>
          </cell>
          <cell r="AE43">
            <v>43295</v>
          </cell>
          <cell r="AF43">
            <v>0.72083333333333333</v>
          </cell>
          <cell r="AG43">
            <v>3216.7199999999962</v>
          </cell>
          <cell r="AH43">
            <v>0</v>
          </cell>
          <cell r="AI43">
            <v>378.59999999999991</v>
          </cell>
          <cell r="AJ43">
            <v>48461</v>
          </cell>
          <cell r="AK43">
            <v>25336</v>
          </cell>
          <cell r="AL43">
            <v>113500</v>
          </cell>
          <cell r="AN43">
            <v>25450</v>
          </cell>
        </row>
        <row r="44">
          <cell r="B44">
            <v>43296</v>
          </cell>
          <cell r="C44" t="str">
            <v>Dep. Imbituba</v>
          </cell>
          <cell r="E44">
            <v>0.34583333333333338</v>
          </cell>
          <cell r="F44">
            <v>15.000000000000002</v>
          </cell>
          <cell r="L44">
            <v>0</v>
          </cell>
          <cell r="M44">
            <v>0</v>
          </cell>
          <cell r="V44">
            <v>5.6</v>
          </cell>
          <cell r="AB44" t="str">
            <v>P</v>
          </cell>
          <cell r="AE44">
            <v>43296</v>
          </cell>
          <cell r="AF44">
            <v>0.34583333333333338</v>
          </cell>
          <cell r="AG44">
            <v>3210.1199999999963</v>
          </cell>
          <cell r="AH44">
            <v>0</v>
          </cell>
          <cell r="AI44">
            <v>378.59999999999991</v>
          </cell>
          <cell r="AJ44">
            <v>48461</v>
          </cell>
          <cell r="AK44">
            <v>25336</v>
          </cell>
          <cell r="AL44">
            <v>113500</v>
          </cell>
          <cell r="AN44">
            <v>25450</v>
          </cell>
        </row>
        <row r="45">
          <cell r="B45">
            <v>43296</v>
          </cell>
          <cell r="C45" t="str">
            <v xml:space="preserve">Closing </v>
          </cell>
          <cell r="E45">
            <v>0.41666666666666669</v>
          </cell>
          <cell r="F45">
            <v>1.6999999999999993</v>
          </cell>
          <cell r="L45">
            <v>0</v>
          </cell>
          <cell r="M45">
            <v>0</v>
          </cell>
          <cell r="S45">
            <v>1.9</v>
          </cell>
          <cell r="V45">
            <v>0.7</v>
          </cell>
          <cell r="AB45" t="str">
            <v>R</v>
          </cell>
          <cell r="AE45">
            <v>43296</v>
          </cell>
          <cell r="AF45">
            <v>0.41666666666666669</v>
          </cell>
          <cell r="AG45">
            <v>3207.4199999999964</v>
          </cell>
          <cell r="AH45">
            <v>0</v>
          </cell>
          <cell r="AI45">
            <v>378.59999999999991</v>
          </cell>
          <cell r="AJ45">
            <v>48449</v>
          </cell>
          <cell r="AK45">
            <v>25336</v>
          </cell>
          <cell r="AL45">
            <v>113500</v>
          </cell>
          <cell r="AN45">
            <v>25450</v>
          </cell>
        </row>
        <row r="46">
          <cell r="B46">
            <v>43296</v>
          </cell>
          <cell r="C46" t="str">
            <v>Arrv. Anchorage</v>
          </cell>
          <cell r="E46">
            <v>0.85</v>
          </cell>
          <cell r="F46">
            <v>10.399999999999999</v>
          </cell>
          <cell r="L46">
            <v>0</v>
          </cell>
          <cell r="M46">
            <v>0</v>
          </cell>
          <cell r="N46">
            <v>48.5</v>
          </cell>
          <cell r="S46">
            <v>18</v>
          </cell>
          <cell r="V46">
            <v>4.5</v>
          </cell>
          <cell r="AB46" t="str">
            <v>R</v>
          </cell>
          <cell r="AE46">
            <v>43296</v>
          </cell>
          <cell r="AF46">
            <v>0.85</v>
          </cell>
          <cell r="AG46">
            <v>3184.8199999999965</v>
          </cell>
          <cell r="AH46">
            <v>0</v>
          </cell>
          <cell r="AI46">
            <v>378.59999999999991</v>
          </cell>
          <cell r="AJ46">
            <v>48331</v>
          </cell>
          <cell r="AK46">
            <v>25336</v>
          </cell>
          <cell r="AL46">
            <v>113500</v>
          </cell>
          <cell r="AN46">
            <v>25450</v>
          </cell>
        </row>
        <row r="47">
          <cell r="B47">
            <v>43297</v>
          </cell>
          <cell r="C47" t="str">
            <v>Dep. Anchorage</v>
          </cell>
          <cell r="E47">
            <v>0.41250000000000003</v>
          </cell>
          <cell r="F47">
            <v>13.500000000000002</v>
          </cell>
          <cell r="L47">
            <v>0</v>
          </cell>
          <cell r="M47">
            <v>0</v>
          </cell>
          <cell r="S47">
            <v>0.1</v>
          </cell>
          <cell r="V47">
            <v>4.9000000000000004</v>
          </cell>
          <cell r="AB47" t="str">
            <v>R</v>
          </cell>
          <cell r="AE47">
            <v>43297</v>
          </cell>
          <cell r="AF47">
            <v>0.41250000000000003</v>
          </cell>
          <cell r="AG47">
            <v>3179.1199999999967</v>
          </cell>
          <cell r="AH47">
            <v>0</v>
          </cell>
          <cell r="AI47">
            <v>378.59999999999991</v>
          </cell>
          <cell r="AJ47">
            <v>48317</v>
          </cell>
          <cell r="AK47">
            <v>25336</v>
          </cell>
          <cell r="AL47">
            <v>113500</v>
          </cell>
          <cell r="AN47">
            <v>25450</v>
          </cell>
        </row>
        <row r="48">
          <cell r="B48">
            <v>43297</v>
          </cell>
          <cell r="C48" t="str">
            <v>Arrival Itapoa</v>
          </cell>
          <cell r="E48">
            <v>0.51250000000000007</v>
          </cell>
          <cell r="F48">
            <v>2.4000000000000008</v>
          </cell>
          <cell r="L48">
            <v>0</v>
          </cell>
          <cell r="M48">
            <v>0</v>
          </cell>
          <cell r="S48">
            <v>1.7</v>
          </cell>
          <cell r="V48">
            <v>1.4</v>
          </cell>
          <cell r="AB48" t="str">
            <v>R</v>
          </cell>
          <cell r="AE48">
            <v>43297</v>
          </cell>
          <cell r="AF48">
            <v>0.51250000000000007</v>
          </cell>
          <cell r="AG48">
            <v>3175.9199999999969</v>
          </cell>
          <cell r="AH48">
            <v>0</v>
          </cell>
          <cell r="AI48">
            <v>378.59999999999991</v>
          </cell>
          <cell r="AJ48">
            <v>48302</v>
          </cell>
          <cell r="AK48">
            <v>25336</v>
          </cell>
          <cell r="AL48">
            <v>113500</v>
          </cell>
          <cell r="AN48">
            <v>25450</v>
          </cell>
        </row>
        <row r="49">
          <cell r="B49">
            <v>43298</v>
          </cell>
          <cell r="C49" t="str">
            <v>Departure Itapoa</v>
          </cell>
          <cell r="E49">
            <v>0.42083333333333334</v>
          </cell>
          <cell r="F49">
            <v>21.799999999999997</v>
          </cell>
          <cell r="L49">
            <v>0</v>
          </cell>
          <cell r="M49">
            <v>0</v>
          </cell>
          <cell r="V49">
            <v>9.5</v>
          </cell>
          <cell r="AB49" t="str">
            <v>P</v>
          </cell>
          <cell r="AE49">
            <v>43298</v>
          </cell>
          <cell r="AF49">
            <v>0.42083333333333334</v>
          </cell>
          <cell r="AG49">
            <v>3164.6199999999967</v>
          </cell>
          <cell r="AH49">
            <v>0</v>
          </cell>
          <cell r="AI49">
            <v>378.59999999999991</v>
          </cell>
          <cell r="AJ49">
            <v>48302</v>
          </cell>
          <cell r="AK49">
            <v>25336</v>
          </cell>
          <cell r="AL49">
            <v>113500</v>
          </cell>
          <cell r="AN49">
            <v>25450</v>
          </cell>
        </row>
        <row r="50">
          <cell r="B50">
            <v>43298</v>
          </cell>
          <cell r="C50" t="str">
            <v xml:space="preserve">Closing </v>
          </cell>
          <cell r="E50">
            <v>0.48958333333333331</v>
          </cell>
          <cell r="F50">
            <v>1.6499999999999995</v>
          </cell>
          <cell r="L50">
            <v>0</v>
          </cell>
          <cell r="M50">
            <v>0</v>
          </cell>
          <cell r="S50">
            <v>3.4</v>
          </cell>
          <cell r="V50">
            <v>1.1000000000000001</v>
          </cell>
          <cell r="AB50" t="str">
            <v>R</v>
          </cell>
          <cell r="AE50">
            <v>43298</v>
          </cell>
          <cell r="AF50">
            <v>0.48958333333333331</v>
          </cell>
          <cell r="AG50">
            <v>3160.0199999999968</v>
          </cell>
          <cell r="AH50">
            <v>0</v>
          </cell>
          <cell r="AI50">
            <v>378.59999999999991</v>
          </cell>
          <cell r="AJ50">
            <v>48257</v>
          </cell>
          <cell r="AK50">
            <v>25336</v>
          </cell>
          <cell r="AL50">
            <v>113500</v>
          </cell>
          <cell r="AN50">
            <v>25450</v>
          </cell>
        </row>
        <row r="51">
          <cell r="B51">
            <v>43299</v>
          </cell>
          <cell r="C51" t="str">
            <v>Arrival Santos</v>
          </cell>
          <cell r="E51">
            <v>3.3333333333333333E-2</v>
          </cell>
          <cell r="F51">
            <v>13.05</v>
          </cell>
          <cell r="L51">
            <v>0</v>
          </cell>
          <cell r="M51">
            <v>0</v>
          </cell>
          <cell r="N51">
            <v>51</v>
          </cell>
          <cell r="S51">
            <v>25.2</v>
          </cell>
          <cell r="V51">
            <v>6.6</v>
          </cell>
          <cell r="AB51" t="str">
            <v>R</v>
          </cell>
          <cell r="AE51">
            <v>43299</v>
          </cell>
          <cell r="AF51">
            <v>3.3333333333333333E-2</v>
          </cell>
          <cell r="AG51">
            <v>3128.2199999999971</v>
          </cell>
          <cell r="AH51">
            <v>0</v>
          </cell>
          <cell r="AI51">
            <v>378.59999999999991</v>
          </cell>
          <cell r="AJ51">
            <v>48097</v>
          </cell>
          <cell r="AK51">
            <v>25336</v>
          </cell>
          <cell r="AL51">
            <v>113500</v>
          </cell>
          <cell r="AN51">
            <v>25450</v>
          </cell>
        </row>
        <row r="52">
          <cell r="B52">
            <v>43299</v>
          </cell>
          <cell r="C52" t="str">
            <v>Departure Santos</v>
          </cell>
          <cell r="E52">
            <v>0.87916666666666676</v>
          </cell>
          <cell r="F52">
            <v>20.300000000000004</v>
          </cell>
          <cell r="L52">
            <v>0</v>
          </cell>
          <cell r="M52">
            <v>0</v>
          </cell>
          <cell r="V52">
            <v>10.7</v>
          </cell>
          <cell r="AB52" t="str">
            <v>P</v>
          </cell>
          <cell r="AE52">
            <v>43299</v>
          </cell>
          <cell r="AF52">
            <v>0.87916666666666676</v>
          </cell>
          <cell r="AG52">
            <v>3116.7199999999971</v>
          </cell>
          <cell r="AH52">
            <v>0</v>
          </cell>
          <cell r="AI52">
            <v>378.59999999999991</v>
          </cell>
          <cell r="AJ52">
            <v>48097</v>
          </cell>
          <cell r="AK52">
            <v>25336</v>
          </cell>
          <cell r="AL52">
            <v>113500</v>
          </cell>
          <cell r="AN52">
            <v>25450</v>
          </cell>
        </row>
        <row r="53">
          <cell r="B53">
            <v>43299</v>
          </cell>
          <cell r="C53" t="str">
            <v xml:space="preserve">Closing </v>
          </cell>
          <cell r="E53">
            <v>0.94444444444444453</v>
          </cell>
          <cell r="F53">
            <v>1.5666666666666664</v>
          </cell>
          <cell r="L53">
            <v>0</v>
          </cell>
          <cell r="M53">
            <v>0</v>
          </cell>
          <cell r="N53">
            <v>27.7</v>
          </cell>
          <cell r="S53">
            <v>1.3</v>
          </cell>
          <cell r="V53">
            <v>1.1000000000000001</v>
          </cell>
          <cell r="AB53" t="str">
            <v>R</v>
          </cell>
          <cell r="AE53">
            <v>43299</v>
          </cell>
          <cell r="AF53">
            <v>0.94444444444444453</v>
          </cell>
          <cell r="AG53">
            <v>3114.2199999999971</v>
          </cell>
          <cell r="AH53">
            <v>0</v>
          </cell>
          <cell r="AI53">
            <v>378.59999999999991</v>
          </cell>
          <cell r="AJ53">
            <v>48064</v>
          </cell>
          <cell r="AK53">
            <v>25336</v>
          </cell>
          <cell r="AL53">
            <v>113500</v>
          </cell>
          <cell r="AN53">
            <v>25450</v>
          </cell>
        </row>
        <row r="54">
          <cell r="B54">
            <v>43300</v>
          </cell>
          <cell r="C54" t="str">
            <v>Arrival Sepetiba</v>
          </cell>
          <cell r="E54">
            <v>0.73749999999999993</v>
          </cell>
          <cell r="F54">
            <v>19.033333333333331</v>
          </cell>
          <cell r="L54">
            <v>0</v>
          </cell>
          <cell r="M54">
            <v>0</v>
          </cell>
          <cell r="N54">
            <v>39.1</v>
          </cell>
          <cell r="S54">
            <v>23.5</v>
          </cell>
          <cell r="V54">
            <v>13</v>
          </cell>
          <cell r="AB54" t="str">
            <v>R</v>
          </cell>
          <cell r="AE54">
            <v>43300</v>
          </cell>
          <cell r="AF54">
            <v>0.73749999999999993</v>
          </cell>
          <cell r="AG54">
            <v>3077.2199999999971</v>
          </cell>
          <cell r="AH54">
            <v>0</v>
          </cell>
          <cell r="AI54">
            <v>378.59999999999991</v>
          </cell>
          <cell r="AJ54">
            <v>47913</v>
          </cell>
          <cell r="AK54">
            <v>25336</v>
          </cell>
          <cell r="AL54">
            <v>113500</v>
          </cell>
          <cell r="AN54">
            <v>25450</v>
          </cell>
        </row>
        <row r="55">
          <cell r="B55">
            <v>43301</v>
          </cell>
          <cell r="C55" t="str">
            <v>Departure Sepetiba</v>
          </cell>
          <cell r="E55">
            <v>0.51250000000000007</v>
          </cell>
          <cell r="F55">
            <v>18.600000000000001</v>
          </cell>
          <cell r="L55">
            <v>0</v>
          </cell>
          <cell r="M55">
            <v>0</v>
          </cell>
          <cell r="V55">
            <v>12.8</v>
          </cell>
          <cell r="AB55" t="str">
            <v>P</v>
          </cell>
          <cell r="AE55">
            <v>43301</v>
          </cell>
          <cell r="AF55">
            <v>0.51250000000000007</v>
          </cell>
          <cell r="AG55">
            <v>3063.6199999999967</v>
          </cell>
          <cell r="AH55">
            <v>0</v>
          </cell>
          <cell r="AI55">
            <v>378.59999999999991</v>
          </cell>
          <cell r="AJ55">
            <v>47913</v>
          </cell>
          <cell r="AK55">
            <v>25336</v>
          </cell>
          <cell r="AL55">
            <v>113500</v>
          </cell>
          <cell r="AN55">
            <v>25450</v>
          </cell>
        </row>
      </sheetData>
      <sheetData sheetId="3">
        <row r="8">
          <cell r="B8">
            <v>43301</v>
          </cell>
          <cell r="C8" t="str">
            <v>Closing, BOSP</v>
          </cell>
          <cell r="E8">
            <v>0.70833333333333337</v>
          </cell>
          <cell r="F8">
            <v>4.6999999999999993</v>
          </cell>
          <cell r="L8">
            <v>0</v>
          </cell>
          <cell r="M8">
            <v>0</v>
          </cell>
          <cell r="S8">
            <v>6.7</v>
          </cell>
          <cell r="V8">
            <v>3</v>
          </cell>
          <cell r="X8">
            <v>8</v>
          </cell>
          <cell r="AB8" t="str">
            <v>R</v>
          </cell>
          <cell r="AE8">
            <v>43301</v>
          </cell>
          <cell r="AF8">
            <v>0.70833333333333337</v>
          </cell>
          <cell r="AG8">
            <v>3053.9199999999969</v>
          </cell>
          <cell r="AH8">
            <v>0</v>
          </cell>
          <cell r="AI8">
            <v>370.59999999999991</v>
          </cell>
          <cell r="AJ8">
            <v>47868</v>
          </cell>
          <cell r="AK8">
            <v>25336</v>
          </cell>
          <cell r="AL8">
            <v>112500</v>
          </cell>
          <cell r="AN8">
            <v>25000</v>
          </cell>
        </row>
        <row r="9">
          <cell r="B9">
            <v>43302</v>
          </cell>
          <cell r="C9" t="str">
            <v>Noon Position</v>
          </cell>
          <cell r="E9">
            <v>0.41666666666666669</v>
          </cell>
          <cell r="F9">
            <v>17</v>
          </cell>
          <cell r="L9">
            <v>0</v>
          </cell>
          <cell r="M9">
            <v>0</v>
          </cell>
          <cell r="N9">
            <v>62.4</v>
          </cell>
          <cell r="S9">
            <v>53.3</v>
          </cell>
          <cell r="V9">
            <v>11.5</v>
          </cell>
          <cell r="AB9" t="str">
            <v>S</v>
          </cell>
          <cell r="AE9">
            <v>43302</v>
          </cell>
          <cell r="AF9">
            <v>0.41666666666666669</v>
          </cell>
          <cell r="AG9">
            <v>2989.1199999999967</v>
          </cell>
          <cell r="AH9">
            <v>0</v>
          </cell>
          <cell r="AI9">
            <v>370.59999999999991</v>
          </cell>
          <cell r="AJ9">
            <v>47578</v>
          </cell>
          <cell r="AK9">
            <v>25336</v>
          </cell>
          <cell r="AL9">
            <v>112500</v>
          </cell>
          <cell r="AN9">
            <v>25000</v>
          </cell>
        </row>
        <row r="10">
          <cell r="B10">
            <v>43302</v>
          </cell>
          <cell r="C10" t="str">
            <v>stop</v>
          </cell>
          <cell r="E10">
            <v>0.60416666666666663</v>
          </cell>
          <cell r="F10">
            <v>4.4999999999999982</v>
          </cell>
          <cell r="L10">
            <v>0</v>
          </cell>
          <cell r="M10">
            <v>0</v>
          </cell>
          <cell r="N10">
            <v>52</v>
          </cell>
          <cell r="S10">
            <v>11</v>
          </cell>
          <cell r="V10">
            <v>2.6</v>
          </cell>
          <cell r="AB10" t="str">
            <v>S</v>
          </cell>
          <cell r="AC10" t="str">
            <v>cooling water leakage from exh.valve unit 4</v>
          </cell>
          <cell r="AE10">
            <v>43302</v>
          </cell>
          <cell r="AF10">
            <v>0.60416666666666663</v>
          </cell>
          <cell r="AG10">
            <v>2975.5199999999968</v>
          </cell>
          <cell r="AH10">
            <v>0</v>
          </cell>
          <cell r="AI10">
            <v>370.59999999999991</v>
          </cell>
          <cell r="AJ10">
            <v>47517</v>
          </cell>
          <cell r="AK10">
            <v>25336</v>
          </cell>
          <cell r="AL10">
            <v>112500</v>
          </cell>
          <cell r="AN10">
            <v>25000</v>
          </cell>
        </row>
        <row r="11">
          <cell r="B11">
            <v>43302</v>
          </cell>
          <cell r="C11" t="str">
            <v>start</v>
          </cell>
          <cell r="E11">
            <v>0.63541666666666663</v>
          </cell>
          <cell r="F11">
            <v>-0.25</v>
          </cell>
          <cell r="L11">
            <v>0</v>
          </cell>
          <cell r="M11">
            <v>0</v>
          </cell>
          <cell r="V11">
            <v>0.5</v>
          </cell>
          <cell r="AB11" t="str">
            <v>S</v>
          </cell>
          <cell r="AC11" t="str">
            <v>start engine and countinous voyage</v>
          </cell>
          <cell r="AE11">
            <v>43302</v>
          </cell>
          <cell r="AF11">
            <v>0.63541666666666663</v>
          </cell>
          <cell r="AG11">
            <v>2975.0199999999968</v>
          </cell>
          <cell r="AH11">
            <v>0</v>
          </cell>
          <cell r="AI11">
            <v>370.59999999999991</v>
          </cell>
          <cell r="AJ11">
            <v>47517</v>
          </cell>
          <cell r="AK11">
            <v>25336</v>
          </cell>
          <cell r="AL11">
            <v>112500</v>
          </cell>
          <cell r="AN11">
            <v>25000</v>
          </cell>
        </row>
        <row r="12">
          <cell r="B12">
            <v>43303</v>
          </cell>
          <cell r="C12" t="str">
            <v>Noon Position</v>
          </cell>
          <cell r="E12">
            <v>0.41666666666666669</v>
          </cell>
          <cell r="F12">
            <v>18.75</v>
          </cell>
          <cell r="L12">
            <v>0</v>
          </cell>
          <cell r="M12">
            <v>0</v>
          </cell>
          <cell r="N12">
            <v>62.6</v>
          </cell>
          <cell r="S12">
            <v>56.1</v>
          </cell>
          <cell r="V12">
            <v>12.4</v>
          </cell>
          <cell r="AB12" t="str">
            <v>S</v>
          </cell>
          <cell r="AE12">
            <v>43303</v>
          </cell>
          <cell r="AF12">
            <v>0.41666666666666669</v>
          </cell>
          <cell r="AG12">
            <v>2906.5199999999968</v>
          </cell>
          <cell r="AH12">
            <v>0</v>
          </cell>
          <cell r="AI12">
            <v>370.59999999999991</v>
          </cell>
          <cell r="AJ12">
            <v>47209</v>
          </cell>
          <cell r="AK12">
            <v>25336</v>
          </cell>
          <cell r="AL12">
            <v>112500</v>
          </cell>
          <cell r="AN12">
            <v>25000</v>
          </cell>
        </row>
        <row r="13">
          <cell r="B13">
            <v>43304</v>
          </cell>
          <cell r="C13" t="str">
            <v>Noon Position</v>
          </cell>
          <cell r="E13">
            <v>0.41666666666666669</v>
          </cell>
          <cell r="F13">
            <v>24</v>
          </cell>
          <cell r="L13">
            <v>0</v>
          </cell>
          <cell r="M13">
            <v>0</v>
          </cell>
          <cell r="N13">
            <v>61.6</v>
          </cell>
          <cell r="S13">
            <v>68.099999999999994</v>
          </cell>
          <cell r="V13">
            <v>14.9</v>
          </cell>
          <cell r="Y13">
            <v>369</v>
          </cell>
          <cell r="AA13">
            <v>63.3</v>
          </cell>
          <cell r="AB13" t="str">
            <v>S</v>
          </cell>
          <cell r="AE13">
            <v>43304</v>
          </cell>
          <cell r="AF13">
            <v>0.41666666666666669</v>
          </cell>
          <cell r="AG13">
            <v>2823.5199999999968</v>
          </cell>
          <cell r="AH13">
            <v>0</v>
          </cell>
          <cell r="AI13">
            <v>370.59999999999991</v>
          </cell>
          <cell r="AJ13">
            <v>46838</v>
          </cell>
          <cell r="AK13">
            <v>25336</v>
          </cell>
          <cell r="AL13">
            <v>112500</v>
          </cell>
          <cell r="AN13">
            <v>25000</v>
          </cell>
        </row>
        <row r="14">
          <cell r="B14">
            <v>43305</v>
          </cell>
          <cell r="C14" t="str">
            <v>Noon Position</v>
          </cell>
          <cell r="E14">
            <v>0.41666666666666669</v>
          </cell>
          <cell r="F14">
            <v>24</v>
          </cell>
          <cell r="L14">
            <v>0</v>
          </cell>
          <cell r="M14">
            <v>0</v>
          </cell>
          <cell r="N14">
            <v>60.1</v>
          </cell>
          <cell r="S14">
            <v>68.2</v>
          </cell>
          <cell r="V14">
            <v>14</v>
          </cell>
          <cell r="Y14">
            <v>368.2</v>
          </cell>
          <cell r="AA14">
            <v>58.8</v>
          </cell>
          <cell r="AB14" t="str">
            <v>S</v>
          </cell>
          <cell r="AE14">
            <v>43305</v>
          </cell>
          <cell r="AF14">
            <v>0.41666666666666669</v>
          </cell>
          <cell r="AG14">
            <v>2741.319999999997</v>
          </cell>
          <cell r="AH14">
            <v>0</v>
          </cell>
          <cell r="AI14">
            <v>370.59999999999991</v>
          </cell>
          <cell r="AJ14">
            <v>46468</v>
          </cell>
          <cell r="AK14">
            <v>25336</v>
          </cell>
          <cell r="AL14">
            <v>112500</v>
          </cell>
          <cell r="AN14">
            <v>25000</v>
          </cell>
        </row>
        <row r="15">
          <cell r="B15">
            <v>43306</v>
          </cell>
          <cell r="C15" t="str">
            <v>Noon Position</v>
          </cell>
          <cell r="E15">
            <v>0.41666666666666669</v>
          </cell>
          <cell r="F15">
            <v>23</v>
          </cell>
          <cell r="L15">
            <v>0</v>
          </cell>
          <cell r="M15">
            <v>0</v>
          </cell>
          <cell r="N15">
            <v>59.8</v>
          </cell>
          <cell r="S15">
            <v>66.599999999999994</v>
          </cell>
          <cell r="V15">
            <v>13.1</v>
          </cell>
          <cell r="Y15">
            <v>358.8</v>
          </cell>
          <cell r="AA15">
            <v>54.9</v>
          </cell>
          <cell r="AB15" t="str">
            <v>S</v>
          </cell>
          <cell r="AE15">
            <v>43306</v>
          </cell>
          <cell r="AF15">
            <v>0.41666666666666669</v>
          </cell>
          <cell r="AG15">
            <v>2661.6199999999972</v>
          </cell>
          <cell r="AH15">
            <v>0</v>
          </cell>
          <cell r="AI15">
            <v>370.59999999999991</v>
          </cell>
          <cell r="AJ15">
            <v>46106</v>
          </cell>
          <cell r="AK15">
            <v>25336</v>
          </cell>
          <cell r="AL15">
            <v>112500</v>
          </cell>
          <cell r="AN15">
            <v>24500</v>
          </cell>
        </row>
        <row r="16">
          <cell r="B16">
            <v>43307</v>
          </cell>
          <cell r="C16" t="str">
            <v>Noon Position</v>
          </cell>
          <cell r="E16">
            <v>0.41666666666666669</v>
          </cell>
          <cell r="F16">
            <v>24</v>
          </cell>
          <cell r="L16">
            <v>0</v>
          </cell>
          <cell r="M16">
            <v>0</v>
          </cell>
          <cell r="N16">
            <v>61.7</v>
          </cell>
          <cell r="S16">
            <v>70.400000000000006</v>
          </cell>
          <cell r="V16">
            <v>13.5</v>
          </cell>
          <cell r="Y16">
            <v>382</v>
          </cell>
          <cell r="AA16">
            <v>56.4</v>
          </cell>
          <cell r="AB16" t="str">
            <v>S</v>
          </cell>
          <cell r="AE16">
            <v>43307</v>
          </cell>
          <cell r="AF16">
            <v>0.41666666666666669</v>
          </cell>
          <cell r="AG16">
            <v>2577.7199999999971</v>
          </cell>
          <cell r="AH16">
            <v>0</v>
          </cell>
          <cell r="AI16">
            <v>370.59999999999991</v>
          </cell>
          <cell r="AJ16">
            <v>45723</v>
          </cell>
          <cell r="AK16">
            <v>25336</v>
          </cell>
          <cell r="AL16">
            <v>112500</v>
          </cell>
          <cell r="AN16">
            <v>24500</v>
          </cell>
        </row>
        <row r="17">
          <cell r="B17">
            <v>43308</v>
          </cell>
          <cell r="C17" t="str">
            <v>Noon Position</v>
          </cell>
          <cell r="E17">
            <v>0.41666666666666669</v>
          </cell>
          <cell r="F17">
            <v>23</v>
          </cell>
          <cell r="L17">
            <v>0</v>
          </cell>
          <cell r="M17">
            <v>0</v>
          </cell>
          <cell r="N17">
            <v>60</v>
          </cell>
          <cell r="S17">
            <v>59.5</v>
          </cell>
          <cell r="V17">
            <v>13</v>
          </cell>
          <cell r="Y17">
            <v>320.5</v>
          </cell>
          <cell r="AA17">
            <v>53.9</v>
          </cell>
          <cell r="AB17" t="str">
            <v>S</v>
          </cell>
          <cell r="AE17">
            <v>43308</v>
          </cell>
          <cell r="AF17">
            <v>0.41666666666666669</v>
          </cell>
          <cell r="AG17">
            <v>2505.2199999999971</v>
          </cell>
          <cell r="AH17">
            <v>0</v>
          </cell>
          <cell r="AI17">
            <v>370.59999999999991</v>
          </cell>
          <cell r="AJ17">
            <v>45398</v>
          </cell>
          <cell r="AK17">
            <v>25336</v>
          </cell>
          <cell r="AL17">
            <v>112500</v>
          </cell>
          <cell r="AN17">
            <v>24500</v>
          </cell>
        </row>
        <row r="18">
          <cell r="B18">
            <v>43308</v>
          </cell>
          <cell r="C18" t="str">
            <v xml:space="preserve">Performance ME </v>
          </cell>
          <cell r="E18">
            <v>0.58333333333333337</v>
          </cell>
          <cell r="F18">
            <v>4</v>
          </cell>
          <cell r="L18">
            <v>0</v>
          </cell>
          <cell r="M18">
            <v>0</v>
          </cell>
          <cell r="S18">
            <v>10.3</v>
          </cell>
          <cell r="V18">
            <v>2.2999999999999998</v>
          </cell>
          <cell r="AB18" t="str">
            <v>S</v>
          </cell>
          <cell r="AE18">
            <v>43308</v>
          </cell>
          <cell r="AF18">
            <v>0.58333333333333337</v>
          </cell>
          <cell r="AG18">
            <v>2492.6199999999967</v>
          </cell>
          <cell r="AH18">
            <v>0</v>
          </cell>
          <cell r="AI18">
            <v>370.59999999999991</v>
          </cell>
          <cell r="AJ18">
            <v>45340</v>
          </cell>
          <cell r="AK18">
            <v>25336</v>
          </cell>
          <cell r="AL18">
            <v>112500</v>
          </cell>
          <cell r="AN18">
            <v>24500</v>
          </cell>
        </row>
        <row r="19">
          <cell r="B19">
            <v>43309</v>
          </cell>
          <cell r="C19" t="str">
            <v>Noon Position</v>
          </cell>
          <cell r="E19">
            <v>0.41666666666666669</v>
          </cell>
          <cell r="F19">
            <v>20</v>
          </cell>
          <cell r="L19">
            <v>0</v>
          </cell>
          <cell r="M19">
            <v>0</v>
          </cell>
          <cell r="N19">
            <v>57.8</v>
          </cell>
          <cell r="S19">
            <v>48.6</v>
          </cell>
          <cell r="V19">
            <v>11.4</v>
          </cell>
          <cell r="Y19">
            <v>259.8</v>
          </cell>
          <cell r="AA19">
            <v>47.2</v>
          </cell>
          <cell r="AB19" t="str">
            <v>S</v>
          </cell>
          <cell r="AE19">
            <v>43309</v>
          </cell>
          <cell r="AF19">
            <v>0.41666666666666669</v>
          </cell>
          <cell r="AG19">
            <v>2432.6199999999967</v>
          </cell>
          <cell r="AH19">
            <v>0</v>
          </cell>
          <cell r="AI19">
            <v>370.59999999999991</v>
          </cell>
          <cell r="AJ19">
            <v>45074</v>
          </cell>
          <cell r="AK19">
            <v>25336</v>
          </cell>
          <cell r="AL19">
            <v>112500</v>
          </cell>
          <cell r="AN19">
            <v>24500</v>
          </cell>
        </row>
        <row r="20">
          <cell r="B20">
            <v>43310</v>
          </cell>
          <cell r="C20" t="str">
            <v>Noon Position</v>
          </cell>
          <cell r="E20">
            <v>0.41666666666666669</v>
          </cell>
          <cell r="F20">
            <v>23</v>
          </cell>
          <cell r="L20">
            <v>0</v>
          </cell>
          <cell r="M20">
            <v>0</v>
          </cell>
          <cell r="N20">
            <v>58.2</v>
          </cell>
          <cell r="S20">
            <v>55.6</v>
          </cell>
          <cell r="V20">
            <v>13</v>
          </cell>
          <cell r="Y20">
            <v>297.3</v>
          </cell>
          <cell r="AA20">
            <v>53</v>
          </cell>
          <cell r="AB20" t="str">
            <v>S</v>
          </cell>
          <cell r="AE20">
            <v>43310</v>
          </cell>
          <cell r="AF20">
            <v>0.41666666666666669</v>
          </cell>
          <cell r="AG20">
            <v>2364.0199999999968</v>
          </cell>
          <cell r="AH20">
            <v>0</v>
          </cell>
          <cell r="AI20">
            <v>370.59999999999991</v>
          </cell>
          <cell r="AJ20">
            <v>44769</v>
          </cell>
          <cell r="AK20">
            <v>25336</v>
          </cell>
          <cell r="AL20">
            <v>112500</v>
          </cell>
          <cell r="AN20">
            <v>24500</v>
          </cell>
        </row>
        <row r="21">
          <cell r="B21">
            <v>43311</v>
          </cell>
          <cell r="C21" t="str">
            <v>Noon Position</v>
          </cell>
          <cell r="E21">
            <v>0.41666666666666669</v>
          </cell>
          <cell r="F21">
            <v>24</v>
          </cell>
          <cell r="L21">
            <v>0</v>
          </cell>
          <cell r="M21">
            <v>0</v>
          </cell>
          <cell r="N21">
            <v>58.5</v>
          </cell>
          <cell r="S21">
            <v>57.9</v>
          </cell>
          <cell r="V21">
            <v>13.7</v>
          </cell>
          <cell r="Y21">
            <v>338.3</v>
          </cell>
          <cell r="AA21">
            <v>56.6</v>
          </cell>
          <cell r="AB21" t="str">
            <v>S</v>
          </cell>
          <cell r="AE21">
            <v>43311</v>
          </cell>
          <cell r="AF21">
            <v>0.41666666666666669</v>
          </cell>
          <cell r="AG21">
            <v>2292.4199999999969</v>
          </cell>
          <cell r="AH21">
            <v>0</v>
          </cell>
          <cell r="AI21">
            <v>370.59999999999991</v>
          </cell>
          <cell r="AJ21">
            <v>44452</v>
          </cell>
          <cell r="AK21">
            <v>25336</v>
          </cell>
          <cell r="AL21">
            <v>112500</v>
          </cell>
          <cell r="AN21">
            <v>24500</v>
          </cell>
        </row>
        <row r="22">
          <cell r="B22">
            <v>43312</v>
          </cell>
          <cell r="C22" t="str">
            <v>Noon Position</v>
          </cell>
          <cell r="E22">
            <v>0.41666666666666669</v>
          </cell>
          <cell r="F22">
            <v>23</v>
          </cell>
          <cell r="L22">
            <v>0</v>
          </cell>
          <cell r="M22">
            <v>0</v>
          </cell>
          <cell r="N22">
            <v>58</v>
          </cell>
          <cell r="S22">
            <v>56.1</v>
          </cell>
          <cell r="V22">
            <v>13.4</v>
          </cell>
          <cell r="Y22">
            <v>271.10000000000002</v>
          </cell>
          <cell r="AA22">
            <v>56.2</v>
          </cell>
          <cell r="AB22" t="str">
            <v>S</v>
          </cell>
          <cell r="AE22">
            <v>43312</v>
          </cell>
          <cell r="AF22">
            <v>0.41666666666666669</v>
          </cell>
          <cell r="AG22">
            <v>2222.9199999999969</v>
          </cell>
          <cell r="AH22">
            <v>0</v>
          </cell>
          <cell r="AI22">
            <v>370.59999999999991</v>
          </cell>
          <cell r="AJ22">
            <v>44144</v>
          </cell>
          <cell r="AK22">
            <v>25336</v>
          </cell>
          <cell r="AL22">
            <v>112500</v>
          </cell>
          <cell r="AN22">
            <v>24500</v>
          </cell>
        </row>
        <row r="23">
          <cell r="B23">
            <v>43313</v>
          </cell>
          <cell r="C23" t="str">
            <v>Noon Position</v>
          </cell>
          <cell r="E23">
            <v>0.41666666666666669</v>
          </cell>
          <cell r="F23">
            <v>24</v>
          </cell>
          <cell r="L23">
            <v>0</v>
          </cell>
          <cell r="M23">
            <v>0</v>
          </cell>
          <cell r="N23">
            <v>58</v>
          </cell>
          <cell r="S23">
            <v>62.1</v>
          </cell>
          <cell r="V23">
            <v>14.2</v>
          </cell>
          <cell r="Y23">
            <v>332.7</v>
          </cell>
          <cell r="AA23">
            <v>61.7</v>
          </cell>
          <cell r="AB23" t="str">
            <v>S</v>
          </cell>
          <cell r="AE23">
            <v>43313</v>
          </cell>
          <cell r="AF23">
            <v>0.41666666666666669</v>
          </cell>
          <cell r="AG23">
            <v>2146.6199999999972</v>
          </cell>
          <cell r="AH23">
            <v>0</v>
          </cell>
          <cell r="AI23">
            <v>370.59999999999991</v>
          </cell>
          <cell r="AJ23">
            <v>43807</v>
          </cell>
          <cell r="AK23">
            <v>25336</v>
          </cell>
          <cell r="AL23">
            <v>112500</v>
          </cell>
          <cell r="AN23">
            <v>24000</v>
          </cell>
        </row>
        <row r="24">
          <cell r="B24">
            <v>43314</v>
          </cell>
          <cell r="C24" t="str">
            <v>Noon Position</v>
          </cell>
          <cell r="E24">
            <v>0.41666666666666669</v>
          </cell>
          <cell r="F24">
            <v>24</v>
          </cell>
          <cell r="L24">
            <v>0</v>
          </cell>
          <cell r="M24">
            <v>0</v>
          </cell>
          <cell r="N24">
            <v>58.5</v>
          </cell>
          <cell r="S24">
            <v>58.7</v>
          </cell>
          <cell r="V24">
            <v>14.9</v>
          </cell>
          <cell r="Y24">
            <v>315.7</v>
          </cell>
          <cell r="AA24">
            <v>63</v>
          </cell>
          <cell r="AB24" t="str">
            <v>S</v>
          </cell>
          <cell r="AE24">
            <v>43314</v>
          </cell>
          <cell r="AF24">
            <v>0.41666666666666669</v>
          </cell>
          <cell r="AG24">
            <v>2073.0199999999973</v>
          </cell>
          <cell r="AH24">
            <v>0</v>
          </cell>
          <cell r="AI24">
            <v>370.59999999999991</v>
          </cell>
          <cell r="AJ24">
            <v>43485</v>
          </cell>
          <cell r="AK24">
            <v>25336</v>
          </cell>
          <cell r="AL24">
            <v>112500</v>
          </cell>
          <cell r="AN24">
            <v>24000</v>
          </cell>
        </row>
        <row r="25">
          <cell r="B25">
            <v>43315</v>
          </cell>
          <cell r="C25" t="str">
            <v>Noon Position</v>
          </cell>
          <cell r="E25">
            <v>0.41666666666666669</v>
          </cell>
          <cell r="F25">
            <v>23</v>
          </cell>
          <cell r="L25">
            <v>0</v>
          </cell>
          <cell r="M25">
            <v>0</v>
          </cell>
          <cell r="N25">
            <v>61.7</v>
          </cell>
          <cell r="S25">
            <v>64.5</v>
          </cell>
          <cell r="V25">
            <v>14.5</v>
          </cell>
          <cell r="Y25">
            <v>346.8</v>
          </cell>
          <cell r="AA25">
            <v>61.2</v>
          </cell>
          <cell r="AB25" t="str">
            <v>S</v>
          </cell>
          <cell r="AE25">
            <v>43315</v>
          </cell>
          <cell r="AF25">
            <v>0.41666666666666669</v>
          </cell>
          <cell r="AG25">
            <v>1994.0199999999973</v>
          </cell>
          <cell r="AH25">
            <v>0</v>
          </cell>
          <cell r="AI25">
            <v>370.59999999999991</v>
          </cell>
          <cell r="AJ25">
            <v>43133</v>
          </cell>
          <cell r="AK25">
            <v>25336</v>
          </cell>
          <cell r="AL25">
            <v>112500</v>
          </cell>
          <cell r="AN25">
            <v>24000</v>
          </cell>
        </row>
        <row r="26">
          <cell r="B26">
            <v>43316</v>
          </cell>
          <cell r="C26" t="str">
            <v>Noon Position</v>
          </cell>
          <cell r="E26">
            <v>0.41666666666666669</v>
          </cell>
          <cell r="F26">
            <v>24</v>
          </cell>
          <cell r="L26">
            <v>0</v>
          </cell>
          <cell r="M26">
            <v>0</v>
          </cell>
          <cell r="N26">
            <v>62</v>
          </cell>
          <cell r="S26">
            <v>66.5</v>
          </cell>
          <cell r="V26">
            <v>15.5</v>
          </cell>
          <cell r="Y26">
            <v>363.1</v>
          </cell>
          <cell r="AA26">
            <v>65.400000000000006</v>
          </cell>
          <cell r="AB26" t="str">
            <v>S</v>
          </cell>
          <cell r="AE26">
            <v>43316</v>
          </cell>
          <cell r="AF26">
            <v>0.41666666666666669</v>
          </cell>
          <cell r="AG26">
            <v>1912.0199999999973</v>
          </cell>
          <cell r="AH26">
            <v>0</v>
          </cell>
          <cell r="AI26">
            <v>370.59999999999991</v>
          </cell>
          <cell r="AJ26">
            <v>42768</v>
          </cell>
          <cell r="AK26">
            <v>25336</v>
          </cell>
          <cell r="AL26">
            <v>112500</v>
          </cell>
          <cell r="AN26">
            <v>24000</v>
          </cell>
        </row>
        <row r="27">
          <cell r="B27">
            <v>43317</v>
          </cell>
          <cell r="C27" t="str">
            <v>Noon Position</v>
          </cell>
          <cell r="E27">
            <v>0.41666666666666669</v>
          </cell>
          <cell r="F27">
            <v>23</v>
          </cell>
          <cell r="L27">
            <v>0</v>
          </cell>
          <cell r="M27">
            <v>0</v>
          </cell>
          <cell r="N27">
            <v>61.4</v>
          </cell>
          <cell r="S27">
            <v>66.7</v>
          </cell>
          <cell r="V27">
            <v>15.2</v>
          </cell>
          <cell r="Y27">
            <v>358.4</v>
          </cell>
          <cell r="AA27">
            <v>64.3</v>
          </cell>
          <cell r="AB27" t="str">
            <v>S</v>
          </cell>
          <cell r="AE27">
            <v>43317</v>
          </cell>
          <cell r="AF27">
            <v>0.41666666666666669</v>
          </cell>
          <cell r="AG27">
            <v>1830.1199999999972</v>
          </cell>
          <cell r="AH27">
            <v>0</v>
          </cell>
          <cell r="AI27">
            <v>370.59999999999991</v>
          </cell>
          <cell r="AJ27">
            <v>42408</v>
          </cell>
          <cell r="AK27">
            <v>25336</v>
          </cell>
          <cell r="AL27">
            <v>112500</v>
          </cell>
          <cell r="AN27">
            <v>24000</v>
          </cell>
        </row>
        <row r="28">
          <cell r="B28">
            <v>43318</v>
          </cell>
          <cell r="C28" t="str">
            <v>Noon Position</v>
          </cell>
          <cell r="E28">
            <v>0.41666666666666669</v>
          </cell>
          <cell r="F28">
            <v>24</v>
          </cell>
          <cell r="L28">
            <v>0</v>
          </cell>
          <cell r="M28">
            <v>0</v>
          </cell>
          <cell r="N28">
            <v>60.1</v>
          </cell>
          <cell r="S28">
            <v>68.900000000000006</v>
          </cell>
          <cell r="V28">
            <v>16.2</v>
          </cell>
          <cell r="Y28">
            <v>371.8</v>
          </cell>
          <cell r="AA28">
            <v>69.400000000000006</v>
          </cell>
          <cell r="AB28" t="str">
            <v>S</v>
          </cell>
          <cell r="AE28">
            <v>43318</v>
          </cell>
          <cell r="AF28">
            <v>0.41666666666666669</v>
          </cell>
          <cell r="AG28">
            <v>1745.019999999997</v>
          </cell>
          <cell r="AH28">
            <v>0</v>
          </cell>
          <cell r="AI28">
            <v>370.59999999999991</v>
          </cell>
          <cell r="AJ28">
            <v>42032</v>
          </cell>
          <cell r="AK28">
            <v>25336</v>
          </cell>
          <cell r="AL28">
            <v>112500</v>
          </cell>
          <cell r="AN28">
            <v>24000</v>
          </cell>
        </row>
        <row r="29">
          <cell r="B29">
            <v>43319</v>
          </cell>
          <cell r="C29" t="str">
            <v>Noon Position</v>
          </cell>
          <cell r="E29">
            <v>0.41666666666666669</v>
          </cell>
          <cell r="F29">
            <v>23</v>
          </cell>
          <cell r="L29">
            <v>0</v>
          </cell>
          <cell r="M29">
            <v>0</v>
          </cell>
          <cell r="N29">
            <v>59.8</v>
          </cell>
          <cell r="S29">
            <v>65.8</v>
          </cell>
          <cell r="V29">
            <v>16.3</v>
          </cell>
          <cell r="Y29">
            <v>354.2</v>
          </cell>
          <cell r="AA29">
            <v>69.900000000000006</v>
          </cell>
          <cell r="AB29" t="str">
            <v>S</v>
          </cell>
          <cell r="AE29">
            <v>43319</v>
          </cell>
          <cell r="AF29">
            <v>0.41666666666666669</v>
          </cell>
          <cell r="AG29">
            <v>1662.9199999999971</v>
          </cell>
          <cell r="AH29">
            <v>0</v>
          </cell>
          <cell r="AI29">
            <v>370.59999999999991</v>
          </cell>
          <cell r="AJ29">
            <v>41674</v>
          </cell>
          <cell r="AK29">
            <v>25336</v>
          </cell>
          <cell r="AL29">
            <v>112500</v>
          </cell>
          <cell r="AN29">
            <v>24000</v>
          </cell>
        </row>
        <row r="30">
          <cell r="B30">
            <v>43320</v>
          </cell>
          <cell r="C30" t="str">
            <v>Noon Position</v>
          </cell>
          <cell r="E30">
            <v>0.41666666666666669</v>
          </cell>
          <cell r="F30">
            <v>24</v>
          </cell>
          <cell r="L30">
            <v>0</v>
          </cell>
          <cell r="M30">
            <v>0</v>
          </cell>
          <cell r="N30">
            <v>58.9</v>
          </cell>
          <cell r="S30">
            <v>68.7</v>
          </cell>
          <cell r="V30">
            <v>17.399999999999999</v>
          </cell>
          <cell r="Y30">
            <v>368.9</v>
          </cell>
          <cell r="AA30">
            <v>75.3</v>
          </cell>
          <cell r="AB30" t="str">
            <v>S</v>
          </cell>
          <cell r="AE30">
            <v>43320</v>
          </cell>
          <cell r="AF30">
            <v>0.41666666666666669</v>
          </cell>
          <cell r="AG30">
            <v>1576.819999999997</v>
          </cell>
          <cell r="AH30">
            <v>0</v>
          </cell>
          <cell r="AI30">
            <v>370.59999999999991</v>
          </cell>
          <cell r="AJ30">
            <v>41303</v>
          </cell>
          <cell r="AK30">
            <v>25336</v>
          </cell>
          <cell r="AL30">
            <v>110900</v>
          </cell>
          <cell r="AN30">
            <v>23500</v>
          </cell>
        </row>
        <row r="31">
          <cell r="B31">
            <v>43321</v>
          </cell>
          <cell r="C31" t="str">
            <v>Noon Position</v>
          </cell>
          <cell r="E31">
            <v>0.41666666666666669</v>
          </cell>
          <cell r="F31">
            <v>23</v>
          </cell>
          <cell r="L31">
            <v>0</v>
          </cell>
          <cell r="M31">
            <v>0</v>
          </cell>
          <cell r="N31">
            <v>60.5</v>
          </cell>
          <cell r="S31">
            <v>68.8</v>
          </cell>
          <cell r="V31">
            <v>17.8</v>
          </cell>
          <cell r="Y31">
            <v>367</v>
          </cell>
          <cell r="AA31">
            <v>76.400000000000006</v>
          </cell>
          <cell r="AB31" t="str">
            <v>S</v>
          </cell>
          <cell r="AE31">
            <v>43321</v>
          </cell>
          <cell r="AF31">
            <v>0.41666666666666669</v>
          </cell>
          <cell r="AG31">
            <v>1490.2199999999971</v>
          </cell>
          <cell r="AH31">
            <v>0</v>
          </cell>
          <cell r="AI31">
            <v>370.59999999999991</v>
          </cell>
          <cell r="AJ31">
            <v>40933</v>
          </cell>
          <cell r="AK31">
            <v>25336</v>
          </cell>
          <cell r="AL31">
            <v>110900</v>
          </cell>
          <cell r="AN31">
            <v>23500</v>
          </cell>
        </row>
        <row r="32">
          <cell r="B32">
            <v>43322</v>
          </cell>
          <cell r="C32" t="str">
            <v>Noon Position</v>
          </cell>
          <cell r="E32">
            <v>0.41666666666666669</v>
          </cell>
          <cell r="F32">
            <v>24</v>
          </cell>
          <cell r="L32">
            <v>0</v>
          </cell>
          <cell r="M32">
            <v>0</v>
          </cell>
          <cell r="N32">
            <v>57.6</v>
          </cell>
          <cell r="S32">
            <v>59.6</v>
          </cell>
          <cell r="V32">
            <v>19</v>
          </cell>
          <cell r="Y32">
            <v>313.60000000000002</v>
          </cell>
          <cell r="AA32">
            <v>81.2</v>
          </cell>
          <cell r="AB32" t="str">
            <v>S</v>
          </cell>
          <cell r="AE32">
            <v>43322</v>
          </cell>
          <cell r="AF32">
            <v>0.41666666666666669</v>
          </cell>
          <cell r="AG32">
            <v>1411.6199999999972</v>
          </cell>
          <cell r="AH32">
            <v>0</v>
          </cell>
          <cell r="AI32">
            <v>370.59999999999991</v>
          </cell>
          <cell r="AJ32">
            <v>40609</v>
          </cell>
          <cell r="AK32">
            <v>25336</v>
          </cell>
          <cell r="AL32">
            <v>110900</v>
          </cell>
          <cell r="AN32">
            <v>23500</v>
          </cell>
        </row>
        <row r="33">
          <cell r="B33">
            <v>43323</v>
          </cell>
          <cell r="C33" t="str">
            <v>Noon Position</v>
          </cell>
          <cell r="E33">
            <v>0.41666666666666669</v>
          </cell>
          <cell r="F33">
            <v>23</v>
          </cell>
          <cell r="L33">
            <v>0</v>
          </cell>
          <cell r="M33">
            <v>0</v>
          </cell>
          <cell r="N33">
            <v>57.9</v>
          </cell>
          <cell r="S33">
            <v>55.2</v>
          </cell>
          <cell r="V33">
            <v>19</v>
          </cell>
          <cell r="Y33">
            <v>290</v>
          </cell>
          <cell r="AA33">
            <v>78.3</v>
          </cell>
          <cell r="AB33" t="str">
            <v>S</v>
          </cell>
          <cell r="AE33">
            <v>43323</v>
          </cell>
          <cell r="AF33">
            <v>0.41666666666666669</v>
          </cell>
          <cell r="AG33">
            <v>1337.4199999999971</v>
          </cell>
          <cell r="AH33">
            <v>0</v>
          </cell>
          <cell r="AI33">
            <v>370.59999999999991</v>
          </cell>
          <cell r="AJ33">
            <v>40309</v>
          </cell>
          <cell r="AK33">
            <v>25336</v>
          </cell>
          <cell r="AL33">
            <v>110900</v>
          </cell>
          <cell r="AN33">
            <v>23000</v>
          </cell>
        </row>
        <row r="34">
          <cell r="B34">
            <v>43324</v>
          </cell>
          <cell r="C34" t="str">
            <v>Noon Position</v>
          </cell>
          <cell r="E34">
            <v>0.41666666666666669</v>
          </cell>
          <cell r="F34">
            <v>24</v>
          </cell>
          <cell r="L34">
            <v>0</v>
          </cell>
          <cell r="M34">
            <v>0</v>
          </cell>
          <cell r="N34">
            <v>58.6</v>
          </cell>
          <cell r="S34">
            <v>60</v>
          </cell>
          <cell r="V34">
            <v>22</v>
          </cell>
          <cell r="Y34">
            <v>315.7</v>
          </cell>
          <cell r="AA34">
            <v>88</v>
          </cell>
          <cell r="AB34" t="str">
            <v>S</v>
          </cell>
          <cell r="AE34">
            <v>43324</v>
          </cell>
          <cell r="AF34">
            <v>0.41666666666666669</v>
          </cell>
          <cell r="AG34">
            <v>1255.4199999999971</v>
          </cell>
          <cell r="AH34">
            <v>0</v>
          </cell>
          <cell r="AI34">
            <v>370.59999999999991</v>
          </cell>
          <cell r="AJ34">
            <v>39980</v>
          </cell>
          <cell r="AK34">
            <v>25336</v>
          </cell>
          <cell r="AL34">
            <v>110900</v>
          </cell>
          <cell r="AN34">
            <v>23000</v>
          </cell>
        </row>
        <row r="35">
          <cell r="B35">
            <v>43324</v>
          </cell>
          <cell r="C35" t="str">
            <v>RPM change</v>
          </cell>
          <cell r="E35">
            <v>0.5</v>
          </cell>
          <cell r="F35">
            <v>1.9999999999999996</v>
          </cell>
          <cell r="L35">
            <v>0</v>
          </cell>
          <cell r="M35">
            <v>0</v>
          </cell>
          <cell r="N35">
            <v>62.2</v>
          </cell>
          <cell r="S35">
            <v>5.2</v>
          </cell>
          <cell r="V35">
            <v>2</v>
          </cell>
          <cell r="Y35">
            <v>27.9</v>
          </cell>
          <cell r="AA35">
            <v>7.8</v>
          </cell>
          <cell r="AB35" t="str">
            <v>S</v>
          </cell>
          <cell r="AE35">
            <v>43324</v>
          </cell>
          <cell r="AF35">
            <v>0.5</v>
          </cell>
          <cell r="AG35">
            <v>1248.2199999999971</v>
          </cell>
          <cell r="AH35">
            <v>0</v>
          </cell>
          <cell r="AI35">
            <v>370.59999999999991</v>
          </cell>
          <cell r="AJ35">
            <v>39951</v>
          </cell>
          <cell r="AK35">
            <v>25336</v>
          </cell>
          <cell r="AL35">
            <v>110900</v>
          </cell>
          <cell r="AN35">
            <v>23000</v>
          </cell>
        </row>
        <row r="36">
          <cell r="B36">
            <v>43325</v>
          </cell>
          <cell r="C36" t="str">
            <v>Noon Position</v>
          </cell>
          <cell r="E36">
            <v>0.41666666666666669</v>
          </cell>
          <cell r="F36">
            <v>22</v>
          </cell>
          <cell r="L36">
            <v>0</v>
          </cell>
          <cell r="M36">
            <v>0</v>
          </cell>
          <cell r="N36">
            <v>47</v>
          </cell>
          <cell r="S36">
            <v>31.2</v>
          </cell>
          <cell r="V36">
            <v>20.2</v>
          </cell>
          <cell r="Y36">
            <v>152.4</v>
          </cell>
          <cell r="AA36">
            <v>81.599999999999994</v>
          </cell>
          <cell r="AB36" t="str">
            <v>S</v>
          </cell>
          <cell r="AE36">
            <v>43325</v>
          </cell>
          <cell r="AF36">
            <v>0.41666666666666669</v>
          </cell>
          <cell r="AG36">
            <v>1196.819999999997</v>
          </cell>
          <cell r="AH36">
            <v>0</v>
          </cell>
          <cell r="AI36">
            <v>370.59999999999991</v>
          </cell>
          <cell r="AJ36">
            <v>39767</v>
          </cell>
          <cell r="AK36">
            <v>25336</v>
          </cell>
          <cell r="AL36">
            <v>110900</v>
          </cell>
          <cell r="AN36">
            <v>23000</v>
          </cell>
        </row>
        <row r="37">
          <cell r="B37">
            <v>43325</v>
          </cell>
          <cell r="C37" t="str">
            <v>EOSP</v>
          </cell>
          <cell r="E37">
            <v>0.66666666666666663</v>
          </cell>
          <cell r="F37">
            <v>5.9999999999999982</v>
          </cell>
          <cell r="L37">
            <v>0</v>
          </cell>
          <cell r="M37">
            <v>0</v>
          </cell>
          <cell r="N37">
            <v>44.1</v>
          </cell>
          <cell r="S37">
            <v>8.6999999999999993</v>
          </cell>
          <cell r="V37">
            <v>6</v>
          </cell>
          <cell r="Y37">
            <v>33.1</v>
          </cell>
          <cell r="AA37">
            <v>24.6</v>
          </cell>
          <cell r="AB37" t="str">
            <v>S</v>
          </cell>
          <cell r="AE37">
            <v>43325</v>
          </cell>
          <cell r="AF37">
            <v>0.66666666666666663</v>
          </cell>
          <cell r="AG37">
            <v>1182.1199999999969</v>
          </cell>
          <cell r="AH37">
            <v>0</v>
          </cell>
          <cell r="AI37">
            <v>370.59999999999991</v>
          </cell>
          <cell r="AJ37">
            <v>39718</v>
          </cell>
          <cell r="AK37">
            <v>25336</v>
          </cell>
          <cell r="AL37">
            <v>110900</v>
          </cell>
          <cell r="AN37">
            <v>23000</v>
          </cell>
        </row>
        <row r="38">
          <cell r="B38">
            <v>43326</v>
          </cell>
          <cell r="C38" t="str">
            <v>Arrival Port Kelang</v>
          </cell>
          <cell r="E38">
            <v>0.16666666666666666</v>
          </cell>
          <cell r="F38">
            <v>12</v>
          </cell>
          <cell r="L38">
            <v>0</v>
          </cell>
          <cell r="M38">
            <v>0</v>
          </cell>
          <cell r="N38">
            <v>33.1</v>
          </cell>
          <cell r="S38">
            <v>11.9</v>
          </cell>
          <cell r="V38">
            <v>11.8</v>
          </cell>
          <cell r="Y38">
            <v>45.8</v>
          </cell>
          <cell r="AA38">
            <v>49.7</v>
          </cell>
          <cell r="AB38" t="str">
            <v>R</v>
          </cell>
          <cell r="AE38">
            <v>43326</v>
          </cell>
          <cell r="AF38">
            <v>0.16666666666666666</v>
          </cell>
          <cell r="AG38">
            <v>1157.9199999999969</v>
          </cell>
          <cell r="AH38">
            <v>0</v>
          </cell>
          <cell r="AI38">
            <v>370.59999999999991</v>
          </cell>
          <cell r="AJ38">
            <v>39632</v>
          </cell>
          <cell r="AK38">
            <v>25336</v>
          </cell>
          <cell r="AL38">
            <v>110900</v>
          </cell>
          <cell r="AN38">
            <v>23000</v>
          </cell>
        </row>
        <row r="39">
          <cell r="B39">
            <v>43327</v>
          </cell>
          <cell r="C39" t="str">
            <v>Depature Port Kelang</v>
          </cell>
          <cell r="E39">
            <v>2.4999999999999998E-2</v>
          </cell>
          <cell r="F39">
            <v>20.6</v>
          </cell>
          <cell r="L39">
            <v>0</v>
          </cell>
          <cell r="M39">
            <v>0</v>
          </cell>
          <cell r="V39">
            <v>17.5</v>
          </cell>
          <cell r="AB39" t="str">
            <v>P</v>
          </cell>
          <cell r="AE39">
            <v>43327</v>
          </cell>
          <cell r="AF39">
            <v>2.4999999999999998E-2</v>
          </cell>
          <cell r="AG39">
            <v>1139.819999999997</v>
          </cell>
          <cell r="AH39">
            <v>0</v>
          </cell>
          <cell r="AI39">
            <v>370.59999999999991</v>
          </cell>
          <cell r="AJ39">
            <v>39610</v>
          </cell>
          <cell r="AK39">
            <v>25336</v>
          </cell>
          <cell r="AL39">
            <v>110900</v>
          </cell>
          <cell r="AN39">
            <v>23000</v>
          </cell>
        </row>
        <row r="40">
          <cell r="B40">
            <v>43327</v>
          </cell>
          <cell r="C40" t="str">
            <v>Closing,</v>
          </cell>
          <cell r="E40">
            <v>6.25E-2</v>
          </cell>
          <cell r="F40">
            <v>0.90000000000000013</v>
          </cell>
          <cell r="L40">
            <v>0</v>
          </cell>
          <cell r="M40">
            <v>0</v>
          </cell>
          <cell r="S40">
            <v>3.1</v>
          </cell>
          <cell r="V40">
            <v>1.4</v>
          </cell>
          <cell r="AB40" t="str">
            <v>R</v>
          </cell>
          <cell r="AE40">
            <v>43327</v>
          </cell>
          <cell r="AF40">
            <v>6.25E-2</v>
          </cell>
          <cell r="AG40">
            <v>1135.1199999999969</v>
          </cell>
          <cell r="AH40">
            <v>0</v>
          </cell>
          <cell r="AI40">
            <v>370.59999999999991</v>
          </cell>
          <cell r="AJ40">
            <v>39592</v>
          </cell>
          <cell r="AK40">
            <v>25336</v>
          </cell>
          <cell r="AL40">
            <v>110900</v>
          </cell>
          <cell r="AN40">
            <v>23000</v>
          </cell>
        </row>
        <row r="41">
          <cell r="B41">
            <v>43327</v>
          </cell>
          <cell r="C41" t="str">
            <v>Arrival Singapore</v>
          </cell>
          <cell r="E41">
            <v>0.60416666666666663</v>
          </cell>
          <cell r="F41">
            <v>13</v>
          </cell>
          <cell r="L41">
            <v>0</v>
          </cell>
          <cell r="M41">
            <v>0</v>
          </cell>
          <cell r="N41">
            <v>60.7</v>
          </cell>
          <cell r="S41">
            <v>42.5</v>
          </cell>
          <cell r="V41">
            <v>11.5</v>
          </cell>
          <cell r="Y41">
            <v>227.6</v>
          </cell>
          <cell r="AA41">
            <v>45.9</v>
          </cell>
          <cell r="AB41" t="str">
            <v>R</v>
          </cell>
          <cell r="AE41">
            <v>43327</v>
          </cell>
          <cell r="AF41">
            <v>0.60416666666666663</v>
          </cell>
          <cell r="AG41">
            <v>1081.1199999999969</v>
          </cell>
          <cell r="AH41">
            <v>0</v>
          </cell>
          <cell r="AI41">
            <v>370.59999999999991</v>
          </cell>
          <cell r="AJ41">
            <v>39354</v>
          </cell>
          <cell r="AK41">
            <v>25336</v>
          </cell>
          <cell r="AL41">
            <v>110900</v>
          </cell>
          <cell r="AN41">
            <v>23000</v>
          </cell>
        </row>
        <row r="42">
          <cell r="B42">
            <v>43328</v>
          </cell>
          <cell r="C42" t="str">
            <v>Departure Singapore</v>
          </cell>
          <cell r="E42">
            <v>0.26944444444444443</v>
          </cell>
          <cell r="F42">
            <v>15.966666666666667</v>
          </cell>
          <cell r="L42">
            <v>0</v>
          </cell>
          <cell r="M42">
            <v>0</v>
          </cell>
          <cell r="V42">
            <v>12.4</v>
          </cell>
          <cell r="AB42" t="str">
            <v>P</v>
          </cell>
          <cell r="AE42">
            <v>43328</v>
          </cell>
          <cell r="AF42">
            <v>0.26944444444444443</v>
          </cell>
          <cell r="AG42">
            <v>3768.1699999999969</v>
          </cell>
          <cell r="AH42">
            <v>0</v>
          </cell>
          <cell r="AI42">
            <v>370.59999999999991</v>
          </cell>
          <cell r="AJ42">
            <v>39354</v>
          </cell>
          <cell r="AK42">
            <v>25336</v>
          </cell>
          <cell r="AL42">
            <v>110900</v>
          </cell>
          <cell r="AN42">
            <v>23000</v>
          </cell>
        </row>
        <row r="43">
          <cell r="B43">
            <v>43328</v>
          </cell>
          <cell r="C43" t="str">
            <v>Closing</v>
          </cell>
          <cell r="E43">
            <v>0.41666666666666669</v>
          </cell>
          <cell r="F43">
            <v>3.5333333333333341</v>
          </cell>
          <cell r="L43">
            <v>0</v>
          </cell>
          <cell r="M43">
            <v>0</v>
          </cell>
          <cell r="N43">
            <v>30.8</v>
          </cell>
          <cell r="S43">
            <v>6.2</v>
          </cell>
          <cell r="V43">
            <v>3.2</v>
          </cell>
          <cell r="Y43">
            <v>30.8</v>
          </cell>
          <cell r="AA43">
            <v>13.5</v>
          </cell>
          <cell r="AB43" t="str">
            <v>R</v>
          </cell>
          <cell r="AE43">
            <v>43328</v>
          </cell>
          <cell r="AF43">
            <v>0.41666666666666669</v>
          </cell>
          <cell r="AG43">
            <v>3758.7699999999973</v>
          </cell>
          <cell r="AH43">
            <v>0</v>
          </cell>
          <cell r="AI43">
            <v>370.59999999999991</v>
          </cell>
          <cell r="AJ43">
            <v>39299</v>
          </cell>
          <cell r="AK43">
            <v>25336</v>
          </cell>
          <cell r="AL43">
            <v>110900</v>
          </cell>
          <cell r="AN43">
            <v>23000</v>
          </cell>
        </row>
        <row r="44">
          <cell r="B44">
            <v>43329</v>
          </cell>
          <cell r="C44" t="str">
            <v>Noon Position</v>
          </cell>
          <cell r="E44">
            <v>0.41666666666666669</v>
          </cell>
          <cell r="F44">
            <v>24</v>
          </cell>
          <cell r="L44">
            <v>0</v>
          </cell>
          <cell r="M44">
            <v>0</v>
          </cell>
          <cell r="N44">
            <v>59.8</v>
          </cell>
          <cell r="S44">
            <v>61.4</v>
          </cell>
          <cell r="V44">
            <v>18.7</v>
          </cell>
          <cell r="Y44">
            <v>324.7</v>
          </cell>
          <cell r="AA44">
            <v>79.7</v>
          </cell>
          <cell r="AB44" t="str">
            <v>S</v>
          </cell>
          <cell r="AE44">
            <v>43329</v>
          </cell>
          <cell r="AF44">
            <v>0.41666666666666669</v>
          </cell>
          <cell r="AG44">
            <v>3678.6699999999973</v>
          </cell>
          <cell r="AH44">
            <v>0</v>
          </cell>
          <cell r="AI44">
            <v>370.59999999999991</v>
          </cell>
          <cell r="AJ44">
            <v>38964</v>
          </cell>
          <cell r="AK44">
            <v>25336</v>
          </cell>
          <cell r="AL44">
            <v>110900</v>
          </cell>
          <cell r="AN44">
            <v>23000</v>
          </cell>
        </row>
        <row r="45">
          <cell r="B45">
            <v>43330</v>
          </cell>
          <cell r="C45" t="str">
            <v>Noon Position</v>
          </cell>
          <cell r="E45">
            <v>0.41666666666666669</v>
          </cell>
          <cell r="F45">
            <v>24</v>
          </cell>
          <cell r="L45">
            <v>0</v>
          </cell>
          <cell r="M45">
            <v>0</v>
          </cell>
          <cell r="N45">
            <v>61.3</v>
          </cell>
          <cell r="S45">
            <v>65.099999999999994</v>
          </cell>
          <cell r="V45">
            <v>18.399999999999999</v>
          </cell>
          <cell r="Y45">
            <v>349</v>
          </cell>
          <cell r="AA45">
            <v>79.099999999999994</v>
          </cell>
          <cell r="AB45" t="str">
            <v>S</v>
          </cell>
          <cell r="AE45">
            <v>43330</v>
          </cell>
          <cell r="AF45">
            <v>0.41666666666666669</v>
          </cell>
          <cell r="AG45">
            <v>3595.1699999999973</v>
          </cell>
          <cell r="AH45">
            <v>0</v>
          </cell>
          <cell r="AI45">
            <v>370.59999999999991</v>
          </cell>
          <cell r="AJ45">
            <v>38611</v>
          </cell>
          <cell r="AK45">
            <v>25336</v>
          </cell>
          <cell r="AL45">
            <v>110900</v>
          </cell>
          <cell r="AN45">
            <v>22500</v>
          </cell>
        </row>
        <row r="46">
          <cell r="B46">
            <v>43331</v>
          </cell>
          <cell r="C46" t="str">
            <v>Noon Position</v>
          </cell>
          <cell r="E46">
            <v>0.41666666666666669</v>
          </cell>
          <cell r="F46">
            <v>24</v>
          </cell>
          <cell r="L46">
            <v>0</v>
          </cell>
          <cell r="M46">
            <v>0</v>
          </cell>
          <cell r="N46">
            <v>62.6</v>
          </cell>
          <cell r="S46">
            <v>69.2</v>
          </cell>
          <cell r="V46">
            <v>18.600000000000001</v>
          </cell>
          <cell r="Y46">
            <v>371.8</v>
          </cell>
          <cell r="AA46">
            <v>80.099999999999994</v>
          </cell>
          <cell r="AB46" t="str">
            <v>S</v>
          </cell>
          <cell r="AE46">
            <v>43331</v>
          </cell>
          <cell r="AF46">
            <v>0.41666666666666669</v>
          </cell>
          <cell r="AG46">
            <v>3507.3699999999976</v>
          </cell>
          <cell r="AH46">
            <v>0</v>
          </cell>
          <cell r="AI46">
            <v>370.59999999999991</v>
          </cell>
          <cell r="AJ46">
            <v>38232</v>
          </cell>
          <cell r="AK46">
            <v>25336</v>
          </cell>
          <cell r="AL46">
            <v>110900</v>
          </cell>
          <cell r="AN46">
            <v>22500</v>
          </cell>
        </row>
        <row r="47">
          <cell r="B47">
            <v>43331</v>
          </cell>
          <cell r="C47" t="str">
            <v>EOSP</v>
          </cell>
          <cell r="E47">
            <v>0.75</v>
          </cell>
          <cell r="F47">
            <v>8</v>
          </cell>
          <cell r="L47">
            <v>0</v>
          </cell>
          <cell r="M47">
            <v>0</v>
          </cell>
          <cell r="N47">
            <v>64.7</v>
          </cell>
          <cell r="S47">
            <v>25.8</v>
          </cell>
          <cell r="V47">
            <v>6.6</v>
          </cell>
          <cell r="Y47">
            <v>135.6</v>
          </cell>
          <cell r="AA47">
            <v>27.3</v>
          </cell>
          <cell r="AB47" t="str">
            <v>S</v>
          </cell>
          <cell r="AE47">
            <v>43331</v>
          </cell>
          <cell r="AF47">
            <v>0.75</v>
          </cell>
          <cell r="AG47">
            <v>3474.9699999999975</v>
          </cell>
          <cell r="AH47">
            <v>0</v>
          </cell>
          <cell r="AI47">
            <v>370.59999999999991</v>
          </cell>
          <cell r="AJ47">
            <v>38091</v>
          </cell>
          <cell r="AK47">
            <v>25336</v>
          </cell>
          <cell r="AL47">
            <v>110900</v>
          </cell>
          <cell r="AN47">
            <v>22500</v>
          </cell>
        </row>
        <row r="48">
          <cell r="B48">
            <v>43331</v>
          </cell>
          <cell r="C48" t="str">
            <v>Arrival Hongkong</v>
          </cell>
          <cell r="E48">
            <v>0.97916666666666663</v>
          </cell>
          <cell r="F48">
            <v>5.4999999999999991</v>
          </cell>
          <cell r="L48">
            <v>0</v>
          </cell>
          <cell r="M48">
            <v>0</v>
          </cell>
          <cell r="N48">
            <v>40.799999999999997</v>
          </cell>
          <cell r="S48">
            <v>8.6999999999999993</v>
          </cell>
          <cell r="V48">
            <v>2.5</v>
          </cell>
          <cell r="X48">
            <v>2</v>
          </cell>
          <cell r="Y48">
            <v>45</v>
          </cell>
          <cell r="AA48">
            <v>18.2</v>
          </cell>
          <cell r="AB48" t="str">
            <v>R</v>
          </cell>
          <cell r="AE48">
            <v>43331</v>
          </cell>
          <cell r="AF48">
            <v>0.97916666666666663</v>
          </cell>
          <cell r="AG48">
            <v>3463.7699999999977</v>
          </cell>
          <cell r="AH48">
            <v>0</v>
          </cell>
          <cell r="AI48">
            <v>368.59999999999991</v>
          </cell>
          <cell r="AJ48">
            <v>38033</v>
          </cell>
          <cell r="AK48">
            <v>25336</v>
          </cell>
          <cell r="AL48">
            <v>110900</v>
          </cell>
          <cell r="AN48">
            <v>22500</v>
          </cell>
        </row>
        <row r="49">
          <cell r="B49">
            <v>43332</v>
          </cell>
          <cell r="C49" t="str">
            <v>Noon Position</v>
          </cell>
          <cell r="E49">
            <v>0.41666666666666669</v>
          </cell>
          <cell r="F49">
            <v>10.5</v>
          </cell>
          <cell r="L49">
            <v>0</v>
          </cell>
          <cell r="M49">
            <v>0</v>
          </cell>
          <cell r="V49">
            <v>1.2</v>
          </cell>
          <cell r="X49">
            <v>7</v>
          </cell>
          <cell r="AB49" t="str">
            <v>P</v>
          </cell>
          <cell r="AE49">
            <v>43332</v>
          </cell>
          <cell r="AF49">
            <v>0.41666666666666669</v>
          </cell>
          <cell r="AG49">
            <v>3462.5699999999979</v>
          </cell>
          <cell r="AH49">
            <v>0</v>
          </cell>
          <cell r="AI49">
            <v>361.09999999999991</v>
          </cell>
          <cell r="AJ49">
            <v>38033</v>
          </cell>
          <cell r="AK49">
            <v>25336</v>
          </cell>
          <cell r="AL49">
            <v>110900</v>
          </cell>
          <cell r="AN49">
            <v>22500</v>
          </cell>
        </row>
        <row r="50">
          <cell r="B50">
            <v>43332</v>
          </cell>
          <cell r="C50" t="str">
            <v>Departure Hongkong</v>
          </cell>
          <cell r="E50">
            <v>0.62777777777777777</v>
          </cell>
          <cell r="F50">
            <v>5.0666666666666664</v>
          </cell>
          <cell r="L50">
            <v>0</v>
          </cell>
          <cell r="M50">
            <v>0</v>
          </cell>
          <cell r="X50">
            <v>3.2</v>
          </cell>
          <cell r="AB50" t="str">
            <v>P</v>
          </cell>
          <cell r="AE50">
            <v>43332</v>
          </cell>
          <cell r="AF50">
            <v>0.62777777777777777</v>
          </cell>
          <cell r="AG50">
            <v>3462.5699999999979</v>
          </cell>
          <cell r="AH50">
            <v>0</v>
          </cell>
          <cell r="AI50">
            <v>356.89999999999992</v>
          </cell>
          <cell r="AJ50">
            <v>38033</v>
          </cell>
          <cell r="AK50">
            <v>25336</v>
          </cell>
          <cell r="AL50">
            <v>110900</v>
          </cell>
          <cell r="AN50">
            <v>22500</v>
          </cell>
        </row>
        <row r="51">
          <cell r="B51">
            <v>43332</v>
          </cell>
          <cell r="C51" t="str">
            <v>BOSP/Closing</v>
          </cell>
          <cell r="E51">
            <v>0.75</v>
          </cell>
          <cell r="F51">
            <v>2.9333333333333336</v>
          </cell>
          <cell r="L51">
            <v>0</v>
          </cell>
          <cell r="M51">
            <v>0</v>
          </cell>
          <cell r="N51">
            <v>40</v>
          </cell>
          <cell r="S51">
            <v>4.2</v>
          </cell>
          <cell r="V51">
            <v>1.6</v>
          </cell>
          <cell r="X51">
            <v>1</v>
          </cell>
          <cell r="AB51" t="str">
            <v>R</v>
          </cell>
          <cell r="AE51">
            <v>43332</v>
          </cell>
          <cell r="AF51">
            <v>0.75</v>
          </cell>
          <cell r="AG51">
            <v>3456.7699999999982</v>
          </cell>
          <cell r="AH51">
            <v>0</v>
          </cell>
          <cell r="AI51">
            <v>355.69999999999993</v>
          </cell>
          <cell r="AJ51">
            <v>37999</v>
          </cell>
          <cell r="AK51">
            <v>25336</v>
          </cell>
          <cell r="AL51">
            <v>110900</v>
          </cell>
          <cell r="AN51">
            <v>22500</v>
          </cell>
        </row>
        <row r="52">
          <cell r="B52">
            <v>43333</v>
          </cell>
          <cell r="C52" t="str">
            <v>Noon Position</v>
          </cell>
          <cell r="E52">
            <v>0.41666666666666669</v>
          </cell>
          <cell r="F52">
            <v>16</v>
          </cell>
          <cell r="L52">
            <v>0</v>
          </cell>
          <cell r="M52">
            <v>0</v>
          </cell>
          <cell r="N52">
            <v>48</v>
          </cell>
          <cell r="S52">
            <v>26</v>
          </cell>
          <cell r="V52">
            <v>10</v>
          </cell>
          <cell r="Y52">
            <v>121.8</v>
          </cell>
          <cell r="AA52">
            <v>41.6</v>
          </cell>
          <cell r="AB52" t="str">
            <v>S</v>
          </cell>
          <cell r="AE52">
            <v>43333</v>
          </cell>
          <cell r="AF52">
            <v>0.41666666666666669</v>
          </cell>
          <cell r="AG52">
            <v>3420.7699999999982</v>
          </cell>
          <cell r="AH52">
            <v>0</v>
          </cell>
          <cell r="AI52">
            <v>355.69999999999993</v>
          </cell>
          <cell r="AJ52">
            <v>37861</v>
          </cell>
          <cell r="AK52">
            <v>25336</v>
          </cell>
          <cell r="AL52">
            <v>110900</v>
          </cell>
          <cell r="AN52">
            <v>22000</v>
          </cell>
        </row>
        <row r="53">
          <cell r="B53">
            <v>43334</v>
          </cell>
          <cell r="C53" t="str">
            <v>Noon Position</v>
          </cell>
          <cell r="E53">
            <v>0.41666666666666669</v>
          </cell>
          <cell r="F53">
            <v>24</v>
          </cell>
          <cell r="L53">
            <v>0</v>
          </cell>
          <cell r="M53">
            <v>0</v>
          </cell>
          <cell r="N53">
            <v>46.1</v>
          </cell>
          <cell r="S53">
            <v>32.700000000000003</v>
          </cell>
          <cell r="V53">
            <v>14.9</v>
          </cell>
          <cell r="Y53">
            <v>157.1</v>
          </cell>
          <cell r="AA53">
            <v>61.1</v>
          </cell>
          <cell r="AB53" t="str">
            <v>S</v>
          </cell>
          <cell r="AE53">
            <v>43334</v>
          </cell>
          <cell r="AF53">
            <v>0.41666666666666669</v>
          </cell>
          <cell r="AG53">
            <v>3373.1699999999983</v>
          </cell>
          <cell r="AH53">
            <v>0</v>
          </cell>
          <cell r="AI53">
            <v>355.69999999999993</v>
          </cell>
          <cell r="AJ53">
            <v>37663</v>
          </cell>
          <cell r="AK53">
            <v>25336</v>
          </cell>
          <cell r="AL53">
            <v>110900</v>
          </cell>
          <cell r="AN53">
            <v>22000</v>
          </cell>
        </row>
        <row r="54">
          <cell r="B54">
            <v>43335</v>
          </cell>
          <cell r="C54" t="str">
            <v>Noon Position</v>
          </cell>
          <cell r="E54">
            <v>0.41666666666666669</v>
          </cell>
          <cell r="F54">
            <v>23</v>
          </cell>
          <cell r="L54">
            <v>0</v>
          </cell>
          <cell r="M54">
            <v>0</v>
          </cell>
          <cell r="N54">
            <v>40.299999999999997</v>
          </cell>
          <cell r="S54">
            <v>23.9</v>
          </cell>
          <cell r="V54">
            <v>14</v>
          </cell>
          <cell r="Y54">
            <v>116.2</v>
          </cell>
          <cell r="AA54">
            <v>57.2</v>
          </cell>
          <cell r="AB54" t="str">
            <v>S</v>
          </cell>
          <cell r="AE54">
            <v>43335</v>
          </cell>
          <cell r="AF54">
            <v>0.41666666666666669</v>
          </cell>
          <cell r="AG54">
            <v>3334.7699999999982</v>
          </cell>
          <cell r="AH54">
            <v>0</v>
          </cell>
          <cell r="AI54">
            <v>355.69999999999993</v>
          </cell>
          <cell r="AJ54">
            <v>37491</v>
          </cell>
          <cell r="AK54">
            <v>25336</v>
          </cell>
          <cell r="AL54">
            <v>110900</v>
          </cell>
          <cell r="AN54">
            <v>22000</v>
          </cell>
        </row>
        <row r="55">
          <cell r="B55">
            <v>43336</v>
          </cell>
          <cell r="C55" t="str">
            <v>Noon Position</v>
          </cell>
          <cell r="E55">
            <v>0.41666666666666669</v>
          </cell>
          <cell r="F55">
            <v>24</v>
          </cell>
          <cell r="L55">
            <v>0</v>
          </cell>
          <cell r="M55">
            <v>0</v>
          </cell>
          <cell r="N55">
            <v>44.9</v>
          </cell>
          <cell r="S55">
            <v>35.6</v>
          </cell>
          <cell r="V55">
            <v>14.5</v>
          </cell>
          <cell r="Y55">
            <v>151.69999999999999</v>
          </cell>
          <cell r="AA55">
            <v>58.7</v>
          </cell>
          <cell r="AB55" t="str">
            <v>S</v>
          </cell>
          <cell r="AE55">
            <v>43336</v>
          </cell>
          <cell r="AF55">
            <v>0.41666666666666669</v>
          </cell>
          <cell r="AG55">
            <v>3284.5699999999983</v>
          </cell>
          <cell r="AH55">
            <v>0</v>
          </cell>
          <cell r="AI55">
            <v>355.69999999999993</v>
          </cell>
          <cell r="AJ55">
            <v>37291</v>
          </cell>
          <cell r="AK55">
            <v>25336</v>
          </cell>
          <cell r="AL55">
            <v>110900</v>
          </cell>
          <cell r="AN55">
            <v>22000</v>
          </cell>
        </row>
      </sheetData>
      <sheetData sheetId="4">
        <row r="8">
          <cell r="B8">
            <v>43336</v>
          </cell>
          <cell r="C8" t="str">
            <v>EOSP</v>
          </cell>
          <cell r="E8">
            <v>0.70833333333333337</v>
          </cell>
          <cell r="F8">
            <v>7</v>
          </cell>
          <cell r="L8">
            <v>0</v>
          </cell>
          <cell r="M8">
            <v>0</v>
          </cell>
          <cell r="N8">
            <v>40.1</v>
          </cell>
          <cell r="S8">
            <v>10.199999999999999</v>
          </cell>
          <cell r="V8">
            <v>4.2</v>
          </cell>
          <cell r="Y8">
            <v>28.8</v>
          </cell>
          <cell r="AA8">
            <v>16.600000000000001</v>
          </cell>
          <cell r="AB8" t="str">
            <v>S</v>
          </cell>
          <cell r="AE8">
            <v>43336</v>
          </cell>
          <cell r="AF8">
            <v>0.70833333333333337</v>
          </cell>
          <cell r="AG8">
            <v>3270.0699999999988</v>
          </cell>
          <cell r="AH8">
            <v>0</v>
          </cell>
          <cell r="AI8">
            <v>355.69999999999993</v>
          </cell>
          <cell r="AJ8">
            <v>37242</v>
          </cell>
          <cell r="AK8">
            <v>25336</v>
          </cell>
          <cell r="AL8">
            <v>110900</v>
          </cell>
          <cell r="AN8">
            <v>22000</v>
          </cell>
        </row>
        <row r="9">
          <cell r="B9">
            <v>43337</v>
          </cell>
          <cell r="C9" t="str">
            <v>Arrival Busan</v>
          </cell>
          <cell r="E9">
            <v>0.43958333333333338</v>
          </cell>
          <cell r="F9">
            <v>17.55</v>
          </cell>
          <cell r="L9">
            <v>0</v>
          </cell>
          <cell r="M9">
            <v>0</v>
          </cell>
          <cell r="N9">
            <v>17.100000000000001</v>
          </cell>
          <cell r="S9">
            <v>6.8</v>
          </cell>
          <cell r="V9">
            <v>10.3</v>
          </cell>
          <cell r="Y9">
            <v>31</v>
          </cell>
          <cell r="AA9">
            <v>41.5</v>
          </cell>
          <cell r="AB9" t="str">
            <v>R</v>
          </cell>
          <cell r="AE9">
            <v>43337</v>
          </cell>
          <cell r="AF9">
            <v>0.43958333333333338</v>
          </cell>
          <cell r="AG9">
            <v>3252.6699999999983</v>
          </cell>
          <cell r="AH9">
            <v>0</v>
          </cell>
          <cell r="AI9">
            <v>355.69999999999993</v>
          </cell>
          <cell r="AJ9">
            <v>37169</v>
          </cell>
          <cell r="AK9">
            <v>25336</v>
          </cell>
          <cell r="AL9">
            <v>110900</v>
          </cell>
          <cell r="AN9">
            <v>22000</v>
          </cell>
        </row>
        <row r="10">
          <cell r="B10">
            <v>43338</v>
          </cell>
          <cell r="C10" t="str">
            <v>Departure Busan</v>
          </cell>
          <cell r="E10">
            <v>0.39166666666666666</v>
          </cell>
          <cell r="F10">
            <v>22.849999999999998</v>
          </cell>
          <cell r="L10">
            <v>0</v>
          </cell>
          <cell r="M10">
            <v>0</v>
          </cell>
          <cell r="V10">
            <v>9.9</v>
          </cell>
          <cell r="AB10" t="str">
            <v>P</v>
          </cell>
          <cell r="AE10">
            <v>43338</v>
          </cell>
          <cell r="AF10">
            <v>0.39166666666666666</v>
          </cell>
          <cell r="AG10">
            <v>3242.3699999999981</v>
          </cell>
          <cell r="AH10">
            <v>0</v>
          </cell>
          <cell r="AI10">
            <v>355.69999999999993</v>
          </cell>
          <cell r="AJ10">
            <v>37169</v>
          </cell>
          <cell r="AK10">
            <v>25336</v>
          </cell>
          <cell r="AL10">
            <v>110900</v>
          </cell>
          <cell r="AN10">
            <v>22000</v>
          </cell>
        </row>
        <row r="11">
          <cell r="B11">
            <v>43338</v>
          </cell>
          <cell r="C11" t="str">
            <v>Closing</v>
          </cell>
          <cell r="E11">
            <v>0.45833333333333331</v>
          </cell>
          <cell r="F11">
            <v>1.5999999999999996</v>
          </cell>
          <cell r="L11">
            <v>0</v>
          </cell>
          <cell r="M11">
            <v>0</v>
          </cell>
          <cell r="N11">
            <v>51.1</v>
          </cell>
          <cell r="S11">
            <v>4.0999999999999996</v>
          </cell>
          <cell r="V11">
            <v>1</v>
          </cell>
          <cell r="AB11" t="str">
            <v>R</v>
          </cell>
          <cell r="AE11">
            <v>43338</v>
          </cell>
          <cell r="AF11">
            <v>0.45833333333333331</v>
          </cell>
          <cell r="AG11">
            <v>3237.2699999999982</v>
          </cell>
          <cell r="AH11">
            <v>0</v>
          </cell>
          <cell r="AI11">
            <v>355.69999999999993</v>
          </cell>
          <cell r="AJ11">
            <v>37117</v>
          </cell>
          <cell r="AK11">
            <v>25336</v>
          </cell>
          <cell r="AL11">
            <v>110900</v>
          </cell>
          <cell r="AN11">
            <v>22000</v>
          </cell>
        </row>
        <row r="12">
          <cell r="B12">
            <v>43339</v>
          </cell>
          <cell r="C12" t="str">
            <v>Noon Position</v>
          </cell>
          <cell r="E12">
            <v>0.41666666666666669</v>
          </cell>
          <cell r="F12">
            <v>24</v>
          </cell>
          <cell r="L12">
            <v>0</v>
          </cell>
          <cell r="M12">
            <v>0</v>
          </cell>
          <cell r="N12">
            <v>59.8</v>
          </cell>
          <cell r="S12">
            <v>67.5</v>
          </cell>
          <cell r="V12">
            <v>10.6</v>
          </cell>
          <cell r="Y12">
            <v>355.8</v>
          </cell>
          <cell r="AA12">
            <v>42.3</v>
          </cell>
          <cell r="AB12" t="str">
            <v>R</v>
          </cell>
          <cell r="AE12">
            <v>43339</v>
          </cell>
          <cell r="AF12">
            <v>0.41666666666666669</v>
          </cell>
          <cell r="AG12">
            <v>3159.1699999999983</v>
          </cell>
          <cell r="AH12">
            <v>0</v>
          </cell>
          <cell r="AI12">
            <v>355.69999999999993</v>
          </cell>
          <cell r="AJ12">
            <v>36745</v>
          </cell>
          <cell r="AK12">
            <v>25336</v>
          </cell>
          <cell r="AL12">
            <v>110900</v>
          </cell>
          <cell r="AN12">
            <v>22000</v>
          </cell>
        </row>
        <row r="13">
          <cell r="B13">
            <v>43340</v>
          </cell>
          <cell r="C13" t="str">
            <v>Noon Position/ dep. Anchor</v>
          </cell>
          <cell r="E13">
            <v>0.41666666666666669</v>
          </cell>
          <cell r="F13">
            <v>24</v>
          </cell>
          <cell r="L13">
            <v>0</v>
          </cell>
          <cell r="M13">
            <v>0</v>
          </cell>
          <cell r="N13">
            <v>12.8</v>
          </cell>
          <cell r="S13">
            <v>9</v>
          </cell>
          <cell r="V13">
            <v>10.9</v>
          </cell>
          <cell r="Y13">
            <v>12.8</v>
          </cell>
          <cell r="AA13">
            <v>42.1</v>
          </cell>
          <cell r="AB13" t="str">
            <v>R</v>
          </cell>
          <cell r="AE13">
            <v>43340</v>
          </cell>
          <cell r="AF13">
            <v>0.41666666666666669</v>
          </cell>
          <cell r="AG13">
            <v>3139.2699999999982</v>
          </cell>
          <cell r="AH13">
            <v>0</v>
          </cell>
          <cell r="AI13">
            <v>353.69999999999993</v>
          </cell>
          <cell r="AJ13">
            <v>36665</v>
          </cell>
          <cell r="AK13">
            <v>25336</v>
          </cell>
          <cell r="AL13">
            <v>110900</v>
          </cell>
          <cell r="AN13">
            <v>22000</v>
          </cell>
        </row>
        <row r="14">
          <cell r="B14">
            <v>43340</v>
          </cell>
          <cell r="C14" t="str">
            <v>Arrival Qingdao</v>
          </cell>
          <cell r="E14">
            <v>0.57638888888888895</v>
          </cell>
          <cell r="F14">
            <v>3.8333333333333344</v>
          </cell>
          <cell r="L14">
            <v>0</v>
          </cell>
          <cell r="M14">
            <v>0</v>
          </cell>
          <cell r="N14">
            <v>33.4</v>
          </cell>
          <cell r="S14">
            <v>4</v>
          </cell>
          <cell r="X14">
            <v>2</v>
          </cell>
          <cell r="Y14">
            <v>17.600000000000001</v>
          </cell>
          <cell r="AA14">
            <v>7.8</v>
          </cell>
          <cell r="AB14" t="str">
            <v>R</v>
          </cell>
          <cell r="AE14">
            <v>43340</v>
          </cell>
          <cell r="AF14">
            <v>0.57638888888888895</v>
          </cell>
          <cell r="AG14">
            <v>3135.2699999999982</v>
          </cell>
          <cell r="AH14">
            <v>0</v>
          </cell>
          <cell r="AI14">
            <v>351.29999999999995</v>
          </cell>
          <cell r="AJ14">
            <v>36636</v>
          </cell>
          <cell r="AK14">
            <v>25336</v>
          </cell>
          <cell r="AL14">
            <v>110900</v>
          </cell>
          <cell r="AN14">
            <v>22000</v>
          </cell>
        </row>
        <row r="15">
          <cell r="B15">
            <v>43341</v>
          </cell>
          <cell r="C15" t="str">
            <v>Noon Port</v>
          </cell>
          <cell r="E15">
            <v>0.41666666666666669</v>
          </cell>
          <cell r="F15">
            <v>20.166666666666664</v>
          </cell>
          <cell r="L15">
            <v>0</v>
          </cell>
          <cell r="M15">
            <v>0</v>
          </cell>
          <cell r="X15">
            <v>9.4</v>
          </cell>
          <cell r="AB15" t="str">
            <v>P</v>
          </cell>
          <cell r="AE15">
            <v>43341</v>
          </cell>
          <cell r="AF15">
            <v>0.41666666666666669</v>
          </cell>
          <cell r="AG15">
            <v>3135.2699999999982</v>
          </cell>
          <cell r="AH15">
            <v>0</v>
          </cell>
          <cell r="AI15">
            <v>341.09999999999997</v>
          </cell>
          <cell r="AJ15">
            <v>36636</v>
          </cell>
          <cell r="AK15">
            <v>25336</v>
          </cell>
          <cell r="AL15">
            <v>108300</v>
          </cell>
          <cell r="AN15">
            <v>21500</v>
          </cell>
        </row>
        <row r="16">
          <cell r="B16">
            <v>43341</v>
          </cell>
          <cell r="C16" t="str">
            <v>Departure Qingdao</v>
          </cell>
          <cell r="E16">
            <v>0.53611111111111109</v>
          </cell>
          <cell r="F16">
            <v>2.8666666666666658</v>
          </cell>
          <cell r="L16">
            <v>0</v>
          </cell>
          <cell r="M16">
            <v>0</v>
          </cell>
          <cell r="V16">
            <v>0.5</v>
          </cell>
          <cell r="X16">
            <v>1</v>
          </cell>
          <cell r="AB16" t="str">
            <v>P</v>
          </cell>
          <cell r="AE16">
            <v>43341</v>
          </cell>
          <cell r="AF16">
            <v>0.53611111111111109</v>
          </cell>
          <cell r="AG16">
            <v>3134.7699999999982</v>
          </cell>
          <cell r="AH16">
            <v>0</v>
          </cell>
          <cell r="AI16">
            <v>339.99999999999994</v>
          </cell>
          <cell r="AJ16">
            <v>36636</v>
          </cell>
          <cell r="AK16">
            <v>25336</v>
          </cell>
          <cell r="AL16">
            <v>108300</v>
          </cell>
          <cell r="AN16">
            <v>21500</v>
          </cell>
        </row>
        <row r="17">
          <cell r="B17">
            <v>43341</v>
          </cell>
          <cell r="C17" t="str">
            <v>Closing</v>
          </cell>
          <cell r="E17">
            <v>0.66666666666666663</v>
          </cell>
          <cell r="F17">
            <v>3.1333333333333329</v>
          </cell>
          <cell r="L17">
            <v>0</v>
          </cell>
          <cell r="M17">
            <v>0</v>
          </cell>
          <cell r="N17">
            <v>49.1</v>
          </cell>
          <cell r="S17">
            <v>6.1</v>
          </cell>
          <cell r="V17">
            <v>2</v>
          </cell>
          <cell r="Y17">
            <v>30</v>
          </cell>
          <cell r="AA17">
            <v>7.7</v>
          </cell>
          <cell r="AB17" t="str">
            <v>R</v>
          </cell>
          <cell r="AE17">
            <v>43341</v>
          </cell>
          <cell r="AF17">
            <v>0.66666666666666663</v>
          </cell>
          <cell r="AG17">
            <v>3126.6699999999983</v>
          </cell>
          <cell r="AH17">
            <v>0</v>
          </cell>
          <cell r="AI17">
            <v>339.99999999999994</v>
          </cell>
          <cell r="AJ17">
            <v>36577</v>
          </cell>
          <cell r="AK17">
            <v>25336</v>
          </cell>
          <cell r="AL17">
            <v>108300</v>
          </cell>
          <cell r="AN17">
            <v>21500</v>
          </cell>
        </row>
        <row r="18">
          <cell r="B18">
            <v>43342</v>
          </cell>
          <cell r="C18" t="str">
            <v>Noon Position</v>
          </cell>
          <cell r="E18">
            <v>0.41666666666666669</v>
          </cell>
          <cell r="F18">
            <v>18</v>
          </cell>
          <cell r="L18">
            <v>0</v>
          </cell>
          <cell r="M18">
            <v>0</v>
          </cell>
          <cell r="N18">
            <v>39.700000000000003</v>
          </cell>
          <cell r="S18">
            <v>26.7</v>
          </cell>
          <cell r="V18">
            <v>10.3</v>
          </cell>
          <cell r="Y18">
            <v>83.3</v>
          </cell>
          <cell r="AB18" t="str">
            <v>R</v>
          </cell>
          <cell r="AE18">
            <v>43342</v>
          </cell>
          <cell r="AF18">
            <v>0.41666666666666669</v>
          </cell>
          <cell r="AG18">
            <v>3088.4699999999984</v>
          </cell>
          <cell r="AH18">
            <v>0</v>
          </cell>
          <cell r="AI18">
            <v>339.99999999999994</v>
          </cell>
          <cell r="AJ18">
            <v>36448</v>
          </cell>
          <cell r="AK18">
            <v>25336</v>
          </cell>
          <cell r="AL18">
            <v>108300</v>
          </cell>
          <cell r="AN18">
            <v>21500</v>
          </cell>
        </row>
        <row r="19">
          <cell r="B19">
            <v>43342</v>
          </cell>
          <cell r="C19" t="str">
            <v>Start Drifting</v>
          </cell>
          <cell r="E19">
            <v>0.47916666666666669</v>
          </cell>
          <cell r="F19">
            <v>1.5</v>
          </cell>
          <cell r="L19">
            <v>0</v>
          </cell>
          <cell r="M19">
            <v>0</v>
          </cell>
          <cell r="N19">
            <v>16.100000000000001</v>
          </cell>
          <cell r="S19">
            <v>0.9</v>
          </cell>
          <cell r="V19">
            <v>1</v>
          </cell>
          <cell r="AB19" t="str">
            <v>R</v>
          </cell>
          <cell r="AC19" t="str">
            <v>Local Engine Operation Drill</v>
          </cell>
          <cell r="AE19">
            <v>43342</v>
          </cell>
          <cell r="AF19">
            <v>0.47916666666666669</v>
          </cell>
          <cell r="AG19">
            <v>3086.5699999999983</v>
          </cell>
          <cell r="AH19">
            <v>0</v>
          </cell>
          <cell r="AI19">
            <v>339.99999999999994</v>
          </cell>
          <cell r="AJ19">
            <v>36443</v>
          </cell>
          <cell r="AK19">
            <v>25336</v>
          </cell>
          <cell r="AL19">
            <v>108300</v>
          </cell>
          <cell r="AN19">
            <v>21500</v>
          </cell>
        </row>
        <row r="20">
          <cell r="B20">
            <v>43342</v>
          </cell>
          <cell r="C20" t="str">
            <v>Stop Drifting</v>
          </cell>
          <cell r="E20">
            <v>0.58333333333333337</v>
          </cell>
          <cell r="F20">
            <v>2.5000000000000004</v>
          </cell>
          <cell r="L20">
            <v>0</v>
          </cell>
          <cell r="M20">
            <v>0</v>
          </cell>
          <cell r="V20">
            <v>1.4</v>
          </cell>
          <cell r="AB20" t="str">
            <v>R</v>
          </cell>
          <cell r="AE20">
            <v>43342</v>
          </cell>
          <cell r="AF20">
            <v>0.58333333333333337</v>
          </cell>
          <cell r="AG20">
            <v>3084.8699999999981</v>
          </cell>
          <cell r="AH20">
            <v>0</v>
          </cell>
          <cell r="AI20">
            <v>339.99999999999994</v>
          </cell>
          <cell r="AJ20">
            <v>36443</v>
          </cell>
          <cell r="AK20">
            <v>25336</v>
          </cell>
          <cell r="AL20">
            <v>108300</v>
          </cell>
          <cell r="AN20">
            <v>21500</v>
          </cell>
        </row>
        <row r="21">
          <cell r="B21">
            <v>43343</v>
          </cell>
          <cell r="C21" t="str">
            <v>Noon Position</v>
          </cell>
          <cell r="E21">
            <v>0.41666666666666669</v>
          </cell>
          <cell r="F21">
            <v>20</v>
          </cell>
          <cell r="L21">
            <v>0</v>
          </cell>
          <cell r="M21">
            <v>0</v>
          </cell>
          <cell r="N21">
            <v>41.3</v>
          </cell>
          <cell r="S21">
            <v>30.5</v>
          </cell>
          <cell r="V21">
            <v>11.9</v>
          </cell>
          <cell r="Y21">
            <v>110.4</v>
          </cell>
          <cell r="AA21">
            <v>48.4</v>
          </cell>
          <cell r="AB21" t="str">
            <v>R</v>
          </cell>
          <cell r="AE21">
            <v>43343</v>
          </cell>
          <cell r="AF21">
            <v>0.41666666666666669</v>
          </cell>
          <cell r="AG21">
            <v>3042.0699999999979</v>
          </cell>
          <cell r="AH21">
            <v>0</v>
          </cell>
          <cell r="AI21">
            <v>339.99999999999994</v>
          </cell>
          <cell r="AJ21">
            <v>36290</v>
          </cell>
          <cell r="AK21">
            <v>25336</v>
          </cell>
          <cell r="AL21">
            <v>108300</v>
          </cell>
          <cell r="AN21">
            <v>21500</v>
          </cell>
        </row>
        <row r="22">
          <cell r="B22">
            <v>43344</v>
          </cell>
          <cell r="C22" t="str">
            <v>Noon Position</v>
          </cell>
          <cell r="E22">
            <v>0.41666666666666669</v>
          </cell>
          <cell r="F22">
            <v>24</v>
          </cell>
          <cell r="L22">
            <v>0</v>
          </cell>
          <cell r="M22">
            <v>0</v>
          </cell>
          <cell r="N22">
            <v>3.1</v>
          </cell>
          <cell r="S22">
            <v>2.6</v>
          </cell>
          <cell r="V22">
            <v>12.3</v>
          </cell>
          <cell r="AB22" t="str">
            <v>R</v>
          </cell>
          <cell r="AE22">
            <v>43344</v>
          </cell>
          <cell r="AF22">
            <v>0.41666666666666669</v>
          </cell>
          <cell r="AG22">
            <v>3025.969999999998</v>
          </cell>
          <cell r="AH22">
            <v>0</v>
          </cell>
          <cell r="AI22">
            <v>339.99999999999994</v>
          </cell>
          <cell r="AJ22">
            <v>36276</v>
          </cell>
          <cell r="AK22">
            <v>25336</v>
          </cell>
          <cell r="AL22">
            <v>108300</v>
          </cell>
          <cell r="AN22">
            <v>21500</v>
          </cell>
        </row>
        <row r="23">
          <cell r="B23">
            <v>43344</v>
          </cell>
          <cell r="C23" t="str">
            <v>Arrival Shanghai</v>
          </cell>
          <cell r="E23">
            <v>0.9375</v>
          </cell>
          <cell r="F23">
            <v>12.499999999999998</v>
          </cell>
          <cell r="L23">
            <v>0</v>
          </cell>
          <cell r="M23">
            <v>0</v>
          </cell>
          <cell r="N23">
            <v>13.4</v>
          </cell>
          <cell r="S23">
            <v>6.6</v>
          </cell>
          <cell r="V23">
            <v>7.3</v>
          </cell>
          <cell r="AB23" t="str">
            <v>R</v>
          </cell>
          <cell r="AE23">
            <v>43344</v>
          </cell>
          <cell r="AF23">
            <v>0.9375</v>
          </cell>
          <cell r="AG23">
            <v>3011.8699999999981</v>
          </cell>
          <cell r="AH23">
            <v>0</v>
          </cell>
          <cell r="AI23">
            <v>339.99999999999994</v>
          </cell>
          <cell r="AJ23">
            <v>36202</v>
          </cell>
          <cell r="AK23">
            <v>25336</v>
          </cell>
          <cell r="AL23">
            <v>108300</v>
          </cell>
          <cell r="AN23">
            <v>21500</v>
          </cell>
        </row>
        <row r="24">
          <cell r="B24">
            <v>43345</v>
          </cell>
          <cell r="C24" t="str">
            <v>Departure Shanghai</v>
          </cell>
          <cell r="E24">
            <v>0.95347222222222217</v>
          </cell>
          <cell r="F24">
            <v>24.383333333333333</v>
          </cell>
          <cell r="L24">
            <v>0</v>
          </cell>
          <cell r="M24">
            <v>0</v>
          </cell>
          <cell r="V24">
            <v>0.8</v>
          </cell>
          <cell r="X24">
            <v>10.6</v>
          </cell>
          <cell r="AA24">
            <v>45.9</v>
          </cell>
          <cell r="AB24" t="str">
            <v>P</v>
          </cell>
          <cell r="AE24">
            <v>43345</v>
          </cell>
          <cell r="AF24">
            <v>0.95347222222222217</v>
          </cell>
          <cell r="AG24">
            <v>3011.0699999999979</v>
          </cell>
          <cell r="AH24">
            <v>0</v>
          </cell>
          <cell r="AI24">
            <v>328.19999999999993</v>
          </cell>
          <cell r="AJ24">
            <v>36202</v>
          </cell>
          <cell r="AK24">
            <v>25336</v>
          </cell>
          <cell r="AL24">
            <v>108300</v>
          </cell>
          <cell r="AN24">
            <v>21500</v>
          </cell>
        </row>
        <row r="25">
          <cell r="B25">
            <v>43346</v>
          </cell>
          <cell r="C25" t="str">
            <v>Closing Report</v>
          </cell>
          <cell r="E25">
            <v>4.1666666666666664E-2</v>
          </cell>
          <cell r="F25">
            <v>2.1166666666666671</v>
          </cell>
          <cell r="L25">
            <v>0</v>
          </cell>
          <cell r="M25">
            <v>0</v>
          </cell>
          <cell r="N25">
            <v>42.3</v>
          </cell>
          <cell r="S25">
            <v>4.0999999999999996</v>
          </cell>
          <cell r="V25">
            <v>1</v>
          </cell>
          <cell r="AB25" t="str">
            <v>R</v>
          </cell>
          <cell r="AE25">
            <v>43346</v>
          </cell>
          <cell r="AF25">
            <v>4.1666666666666664E-2</v>
          </cell>
          <cell r="AG25">
            <v>3005.969999999998</v>
          </cell>
          <cell r="AH25">
            <v>0</v>
          </cell>
          <cell r="AI25">
            <v>328.09999999999991</v>
          </cell>
          <cell r="AJ25">
            <v>36147</v>
          </cell>
          <cell r="AK25">
            <v>25336</v>
          </cell>
          <cell r="AL25">
            <v>108300</v>
          </cell>
          <cell r="AN25">
            <v>21500</v>
          </cell>
        </row>
        <row r="26">
          <cell r="B26">
            <v>43346</v>
          </cell>
          <cell r="C26" t="str">
            <v>Noon anchorage</v>
          </cell>
          <cell r="E26">
            <v>0.41666666666666669</v>
          </cell>
          <cell r="F26">
            <v>9</v>
          </cell>
          <cell r="L26">
            <v>0</v>
          </cell>
          <cell r="M26">
            <v>0</v>
          </cell>
          <cell r="N26">
            <v>37.4</v>
          </cell>
          <cell r="S26">
            <v>15.7</v>
          </cell>
          <cell r="V26">
            <v>4.2</v>
          </cell>
          <cell r="AB26" t="str">
            <v>R</v>
          </cell>
          <cell r="AE26">
            <v>43346</v>
          </cell>
          <cell r="AF26">
            <v>0.41666666666666669</v>
          </cell>
          <cell r="AG26">
            <v>2986.0699999999983</v>
          </cell>
          <cell r="AH26">
            <v>0</v>
          </cell>
          <cell r="AI26">
            <v>327.89999999999992</v>
          </cell>
          <cell r="AJ26">
            <v>36055</v>
          </cell>
          <cell r="AK26">
            <v>25336</v>
          </cell>
          <cell r="AL26">
            <v>108300</v>
          </cell>
          <cell r="AN26">
            <v>21500</v>
          </cell>
        </row>
        <row r="27">
          <cell r="B27">
            <v>43347</v>
          </cell>
          <cell r="C27" t="str">
            <v>Noon anchorage</v>
          </cell>
          <cell r="E27">
            <v>0.41666666666666669</v>
          </cell>
          <cell r="F27">
            <v>24</v>
          </cell>
          <cell r="L27">
            <v>0</v>
          </cell>
          <cell r="M27">
            <v>0</v>
          </cell>
          <cell r="V27">
            <v>10.3</v>
          </cell>
          <cell r="AB27" t="str">
            <v>R</v>
          </cell>
          <cell r="AE27">
            <v>43347</v>
          </cell>
          <cell r="AF27">
            <v>0.41666666666666669</v>
          </cell>
          <cell r="AG27">
            <v>2975.7699999999982</v>
          </cell>
          <cell r="AH27">
            <v>0</v>
          </cell>
          <cell r="AI27">
            <v>326.69999999999993</v>
          </cell>
          <cell r="AJ27">
            <v>36055</v>
          </cell>
          <cell r="AK27">
            <v>25336</v>
          </cell>
          <cell r="AL27">
            <v>108300</v>
          </cell>
          <cell r="AN27">
            <v>21500</v>
          </cell>
        </row>
        <row r="28">
          <cell r="B28">
            <v>43348</v>
          </cell>
          <cell r="C28" t="str">
            <v>Arrival Ningbo</v>
          </cell>
          <cell r="E28">
            <v>0.35416666666666669</v>
          </cell>
          <cell r="F28">
            <v>22.5</v>
          </cell>
          <cell r="L28">
            <v>0</v>
          </cell>
          <cell r="M28">
            <v>0</v>
          </cell>
          <cell r="S28">
            <v>4.9000000000000004</v>
          </cell>
          <cell r="V28">
            <v>5.5</v>
          </cell>
          <cell r="X28">
            <v>4.9000000000000004</v>
          </cell>
          <cell r="AB28" t="str">
            <v>R</v>
          </cell>
          <cell r="AE28">
            <v>43348</v>
          </cell>
          <cell r="AF28">
            <v>0.35416666666666669</v>
          </cell>
          <cell r="AG28">
            <v>2965.3699999999981</v>
          </cell>
          <cell r="AH28">
            <v>0</v>
          </cell>
          <cell r="AI28">
            <v>320.79999999999995</v>
          </cell>
          <cell r="AJ28">
            <v>35976</v>
          </cell>
          <cell r="AK28">
            <v>25336</v>
          </cell>
          <cell r="AL28">
            <v>108300</v>
          </cell>
          <cell r="AN28">
            <v>21500</v>
          </cell>
        </row>
        <row r="29">
          <cell r="B29">
            <v>43348</v>
          </cell>
          <cell r="C29" t="str">
            <v>Departure Ningbo</v>
          </cell>
          <cell r="E29">
            <v>0.97222222222222221</v>
          </cell>
          <cell r="F29">
            <v>14.833333333333334</v>
          </cell>
          <cell r="L29">
            <v>0</v>
          </cell>
          <cell r="M29">
            <v>0</v>
          </cell>
          <cell r="X29">
            <v>7.9</v>
          </cell>
          <cell r="AA29">
            <v>27.9</v>
          </cell>
          <cell r="AB29" t="str">
            <v>P</v>
          </cell>
          <cell r="AE29">
            <v>43348</v>
          </cell>
          <cell r="AF29">
            <v>0.97222222222222221</v>
          </cell>
          <cell r="AG29">
            <v>2965.3699999999981</v>
          </cell>
          <cell r="AH29">
            <v>0</v>
          </cell>
          <cell r="AI29">
            <v>311.89999999999998</v>
          </cell>
          <cell r="AJ29">
            <v>35976</v>
          </cell>
          <cell r="AK29">
            <v>25336</v>
          </cell>
          <cell r="AL29">
            <v>108300</v>
          </cell>
          <cell r="AN29">
            <v>21500</v>
          </cell>
        </row>
        <row r="30">
          <cell r="B30">
            <v>43349</v>
          </cell>
          <cell r="C30" t="str">
            <v>Closing Report</v>
          </cell>
          <cell r="E30">
            <v>7.2916666666666671E-2</v>
          </cell>
          <cell r="F30">
            <v>2.4166666666666643</v>
          </cell>
          <cell r="L30">
            <v>0</v>
          </cell>
          <cell r="M30">
            <v>0</v>
          </cell>
          <cell r="S30">
            <v>4</v>
          </cell>
          <cell r="V30">
            <v>1.9</v>
          </cell>
          <cell r="AA30">
            <v>19.399999999999999</v>
          </cell>
          <cell r="AB30" t="str">
            <v>R</v>
          </cell>
          <cell r="AE30">
            <v>43349</v>
          </cell>
          <cell r="AF30">
            <v>7.2916666666666671E-2</v>
          </cell>
          <cell r="AG30">
            <v>2959.469999999998</v>
          </cell>
          <cell r="AH30">
            <v>0</v>
          </cell>
          <cell r="AI30">
            <v>311.89999999999998</v>
          </cell>
          <cell r="AJ30">
            <v>35976</v>
          </cell>
          <cell r="AK30">
            <v>25336</v>
          </cell>
          <cell r="AL30">
            <v>108300</v>
          </cell>
          <cell r="AN30">
            <v>21500</v>
          </cell>
        </row>
        <row r="31">
          <cell r="B31">
            <v>43349</v>
          </cell>
          <cell r="C31" t="str">
            <v>Noon Position</v>
          </cell>
          <cell r="E31">
            <v>0.41666666666666669</v>
          </cell>
          <cell r="F31">
            <v>8.25</v>
          </cell>
          <cell r="L31">
            <v>0</v>
          </cell>
          <cell r="M31">
            <v>0</v>
          </cell>
          <cell r="N31">
            <v>58.5</v>
          </cell>
          <cell r="S31">
            <v>21.8</v>
          </cell>
          <cell r="V31">
            <v>3.7</v>
          </cell>
          <cell r="Y31">
            <v>118.6</v>
          </cell>
          <cell r="AA31">
            <v>15.1</v>
          </cell>
          <cell r="AB31" t="str">
            <v>S</v>
          </cell>
          <cell r="AE31">
            <v>43349</v>
          </cell>
          <cell r="AF31">
            <v>0.41666666666666669</v>
          </cell>
          <cell r="AG31">
            <v>2933.969999999998</v>
          </cell>
          <cell r="AH31">
            <v>0</v>
          </cell>
          <cell r="AI31">
            <v>311.89999999999998</v>
          </cell>
          <cell r="AJ31">
            <v>35852</v>
          </cell>
          <cell r="AK31">
            <v>25336</v>
          </cell>
          <cell r="AL31">
            <v>108300</v>
          </cell>
          <cell r="AN31">
            <v>21500</v>
          </cell>
        </row>
        <row r="32">
          <cell r="B32">
            <v>43350</v>
          </cell>
          <cell r="C32" t="str">
            <v>Noon Position</v>
          </cell>
          <cell r="E32">
            <v>0.41666666666666669</v>
          </cell>
          <cell r="F32">
            <v>24</v>
          </cell>
          <cell r="L32">
            <v>0</v>
          </cell>
          <cell r="M32">
            <v>0</v>
          </cell>
          <cell r="N32">
            <v>64.3</v>
          </cell>
          <cell r="S32">
            <v>76</v>
          </cell>
          <cell r="V32">
            <v>11.7</v>
          </cell>
          <cell r="Y32">
            <v>408.7</v>
          </cell>
          <cell r="AA32">
            <v>47.4</v>
          </cell>
          <cell r="AB32" t="str">
            <v>S</v>
          </cell>
          <cell r="AE32">
            <v>43350</v>
          </cell>
          <cell r="AF32">
            <v>0.41666666666666669</v>
          </cell>
          <cell r="AG32">
            <v>2846.2699999999982</v>
          </cell>
          <cell r="AH32">
            <v>0</v>
          </cell>
          <cell r="AI32">
            <v>311.89999999999998</v>
          </cell>
          <cell r="AJ32">
            <v>35439</v>
          </cell>
          <cell r="AK32">
            <v>25336</v>
          </cell>
          <cell r="AL32">
            <v>108300</v>
          </cell>
          <cell r="AN32">
            <v>21500</v>
          </cell>
        </row>
        <row r="33">
          <cell r="B33">
            <v>43350</v>
          </cell>
          <cell r="C33" t="str">
            <v>EOSP</v>
          </cell>
          <cell r="E33">
            <v>0.70833333333333337</v>
          </cell>
          <cell r="F33">
            <v>7</v>
          </cell>
          <cell r="L33">
            <v>0</v>
          </cell>
          <cell r="M33">
            <v>0</v>
          </cell>
          <cell r="N33">
            <v>56.6</v>
          </cell>
          <cell r="S33">
            <v>16.7</v>
          </cell>
          <cell r="V33">
            <v>3.6</v>
          </cell>
          <cell r="Y33">
            <v>85.9</v>
          </cell>
          <cell r="AA33">
            <v>14.6</v>
          </cell>
          <cell r="AB33" t="str">
            <v>S</v>
          </cell>
          <cell r="AE33">
            <v>43350</v>
          </cell>
          <cell r="AF33">
            <v>0.70833333333333337</v>
          </cell>
          <cell r="AG33">
            <v>2825.9699999999984</v>
          </cell>
          <cell r="AH33">
            <v>0</v>
          </cell>
          <cell r="AI33">
            <v>311.89999999999998</v>
          </cell>
          <cell r="AJ33">
            <v>35349</v>
          </cell>
          <cell r="AK33">
            <v>25336</v>
          </cell>
          <cell r="AL33">
            <v>108300</v>
          </cell>
          <cell r="AN33">
            <v>21500</v>
          </cell>
        </row>
        <row r="34">
          <cell r="B34">
            <v>43351</v>
          </cell>
          <cell r="C34" t="str">
            <v xml:space="preserve">Arrival Chiwan </v>
          </cell>
          <cell r="E34">
            <v>0.10416666666666667</v>
          </cell>
          <cell r="F34">
            <v>9.4999999999999982</v>
          </cell>
          <cell r="L34">
            <v>0</v>
          </cell>
          <cell r="M34">
            <v>0</v>
          </cell>
          <cell r="N34">
            <v>47.5</v>
          </cell>
          <cell r="S34">
            <v>21.1</v>
          </cell>
          <cell r="V34">
            <v>5.5</v>
          </cell>
          <cell r="Y34">
            <v>109</v>
          </cell>
          <cell r="AA34">
            <v>21</v>
          </cell>
          <cell r="AB34" t="str">
            <v>R</v>
          </cell>
          <cell r="AE34">
            <v>43351</v>
          </cell>
          <cell r="AF34">
            <v>0.10416666666666667</v>
          </cell>
          <cell r="AG34">
            <v>2799.3699999999985</v>
          </cell>
          <cell r="AH34">
            <v>0</v>
          </cell>
          <cell r="AI34">
            <v>311.79999999999995</v>
          </cell>
          <cell r="AJ34">
            <v>35219</v>
          </cell>
          <cell r="AK34">
            <v>25336</v>
          </cell>
          <cell r="AL34">
            <v>108300</v>
          </cell>
          <cell r="AN34">
            <v>21500</v>
          </cell>
        </row>
        <row r="35">
          <cell r="B35">
            <v>43351</v>
          </cell>
          <cell r="C35" t="str">
            <v>Departure Chiwan</v>
          </cell>
          <cell r="E35">
            <v>0.66388888888888886</v>
          </cell>
          <cell r="F35">
            <v>13.433333333333334</v>
          </cell>
          <cell r="L35">
            <v>0</v>
          </cell>
          <cell r="M35">
            <v>0</v>
          </cell>
          <cell r="X35">
            <v>8.3000000000000007</v>
          </cell>
          <cell r="AA35">
            <v>28</v>
          </cell>
          <cell r="AB35" t="str">
            <v>P</v>
          </cell>
          <cell r="AE35">
            <v>43351</v>
          </cell>
          <cell r="AF35">
            <v>0.66388888888888886</v>
          </cell>
          <cell r="AG35">
            <v>2799.3699999999985</v>
          </cell>
          <cell r="AH35">
            <v>0</v>
          </cell>
          <cell r="AI35">
            <v>302.39999999999992</v>
          </cell>
          <cell r="AJ35">
            <v>35219</v>
          </cell>
          <cell r="AK35">
            <v>25336</v>
          </cell>
          <cell r="AL35">
            <v>108300</v>
          </cell>
          <cell r="AN35">
            <v>21500</v>
          </cell>
        </row>
        <row r="36">
          <cell r="F36">
            <v>-15.933333333333334</v>
          </cell>
          <cell r="L36">
            <v>0</v>
          </cell>
          <cell r="M36">
            <v>0</v>
          </cell>
          <cell r="AE36" t="str">
            <v/>
          </cell>
          <cell r="AF36" t="str">
            <v/>
          </cell>
          <cell r="AG36">
            <v>2799.3699999999985</v>
          </cell>
          <cell r="AH36">
            <v>0</v>
          </cell>
          <cell r="AI36">
            <v>302.39999999999992</v>
          </cell>
          <cell r="AJ36">
            <v>35219</v>
          </cell>
          <cell r="AK36">
            <v>25336</v>
          </cell>
          <cell r="AL36">
            <v>108300</v>
          </cell>
          <cell r="AN36">
            <v>21500</v>
          </cell>
        </row>
        <row r="37">
          <cell r="F37">
            <v>0</v>
          </cell>
          <cell r="L37">
            <v>0</v>
          </cell>
          <cell r="M37">
            <v>0</v>
          </cell>
          <cell r="AE37" t="str">
            <v/>
          </cell>
          <cell r="AF37" t="str">
            <v/>
          </cell>
          <cell r="AG37">
            <v>2799.3699999999985</v>
          </cell>
          <cell r="AH37">
            <v>0</v>
          </cell>
          <cell r="AI37">
            <v>302.39999999999992</v>
          </cell>
          <cell r="AJ37">
            <v>35219</v>
          </cell>
          <cell r="AK37">
            <v>25336</v>
          </cell>
          <cell r="AL37">
            <v>108300</v>
          </cell>
          <cell r="AN37">
            <v>21500</v>
          </cell>
        </row>
        <row r="38">
          <cell r="F38">
            <v>0</v>
          </cell>
          <cell r="L38">
            <v>0</v>
          </cell>
          <cell r="M38">
            <v>0</v>
          </cell>
          <cell r="AE38" t="str">
            <v/>
          </cell>
          <cell r="AF38" t="str">
            <v/>
          </cell>
          <cell r="AG38">
            <v>2799.3699999999985</v>
          </cell>
          <cell r="AH38">
            <v>0</v>
          </cell>
          <cell r="AI38">
            <v>302.39999999999992</v>
          </cell>
          <cell r="AJ38">
            <v>35219</v>
          </cell>
          <cell r="AK38">
            <v>25336</v>
          </cell>
          <cell r="AL38">
            <v>108300</v>
          </cell>
          <cell r="AN38">
            <v>21500</v>
          </cell>
        </row>
        <row r="39">
          <cell r="F39">
            <v>0</v>
          </cell>
          <cell r="L39">
            <v>0</v>
          </cell>
          <cell r="M39">
            <v>0</v>
          </cell>
          <cell r="AE39" t="str">
            <v/>
          </cell>
          <cell r="AF39" t="str">
            <v/>
          </cell>
          <cell r="AG39">
            <v>2799.3699999999985</v>
          </cell>
          <cell r="AH39">
            <v>0</v>
          </cell>
          <cell r="AI39">
            <v>302.39999999999992</v>
          </cell>
          <cell r="AJ39">
            <v>35219</v>
          </cell>
          <cell r="AK39">
            <v>25336</v>
          </cell>
          <cell r="AL39">
            <v>108300</v>
          </cell>
          <cell r="AN39">
            <v>21500</v>
          </cell>
        </row>
        <row r="40">
          <cell r="F40">
            <v>0</v>
          </cell>
          <cell r="L40">
            <v>0</v>
          </cell>
          <cell r="M40">
            <v>0</v>
          </cell>
          <cell r="AE40" t="str">
            <v/>
          </cell>
          <cell r="AF40" t="str">
            <v/>
          </cell>
          <cell r="AG40">
            <v>2799.3699999999985</v>
          </cell>
          <cell r="AH40">
            <v>0</v>
          </cell>
          <cell r="AI40">
            <v>302.39999999999992</v>
          </cell>
          <cell r="AJ40">
            <v>35219</v>
          </cell>
          <cell r="AK40">
            <v>25336</v>
          </cell>
          <cell r="AL40">
            <v>108300</v>
          </cell>
          <cell r="AN40">
            <v>21500</v>
          </cell>
        </row>
        <row r="41">
          <cell r="F41">
            <v>0</v>
          </cell>
          <cell r="L41">
            <v>0</v>
          </cell>
          <cell r="M41">
            <v>0</v>
          </cell>
          <cell r="AE41" t="str">
            <v/>
          </cell>
          <cell r="AF41" t="str">
            <v/>
          </cell>
          <cell r="AG41">
            <v>2799.3699999999985</v>
          </cell>
          <cell r="AH41">
            <v>0</v>
          </cell>
          <cell r="AI41">
            <v>302.39999999999992</v>
          </cell>
          <cell r="AJ41">
            <v>35219</v>
          </cell>
          <cell r="AK41">
            <v>25336</v>
          </cell>
          <cell r="AL41">
            <v>108300</v>
          </cell>
          <cell r="AN41">
            <v>21500</v>
          </cell>
        </row>
        <row r="42">
          <cell r="F42">
            <v>0</v>
          </cell>
          <cell r="L42">
            <v>0</v>
          </cell>
          <cell r="M42">
            <v>0</v>
          </cell>
          <cell r="AE42" t="str">
            <v/>
          </cell>
          <cell r="AF42" t="str">
            <v/>
          </cell>
          <cell r="AG42">
            <v>2799.3699999999985</v>
          </cell>
          <cell r="AH42">
            <v>0</v>
          </cell>
          <cell r="AI42">
            <v>302.39999999999992</v>
          </cell>
          <cell r="AJ42">
            <v>35219</v>
          </cell>
          <cell r="AK42">
            <v>25336</v>
          </cell>
          <cell r="AL42">
            <v>108300</v>
          </cell>
          <cell r="AN42">
            <v>21500</v>
          </cell>
        </row>
        <row r="43">
          <cell r="F43">
            <v>0</v>
          </cell>
          <cell r="L43">
            <v>0</v>
          </cell>
          <cell r="M43">
            <v>0</v>
          </cell>
          <cell r="AE43" t="str">
            <v/>
          </cell>
          <cell r="AF43" t="str">
            <v/>
          </cell>
          <cell r="AG43">
            <v>2799.3699999999985</v>
          </cell>
          <cell r="AH43">
            <v>0</v>
          </cell>
          <cell r="AI43">
            <v>302.39999999999992</v>
          </cell>
          <cell r="AJ43">
            <v>35219</v>
          </cell>
          <cell r="AK43">
            <v>25336</v>
          </cell>
          <cell r="AL43">
            <v>108300</v>
          </cell>
          <cell r="AN43">
            <v>21500</v>
          </cell>
        </row>
        <row r="44">
          <cell r="F44">
            <v>0</v>
          </cell>
          <cell r="L44">
            <v>0</v>
          </cell>
          <cell r="M44">
            <v>0</v>
          </cell>
          <cell r="AE44" t="str">
            <v/>
          </cell>
          <cell r="AF44" t="str">
            <v/>
          </cell>
          <cell r="AG44">
            <v>2799.3699999999985</v>
          </cell>
          <cell r="AH44">
            <v>0</v>
          </cell>
          <cell r="AI44">
            <v>302.39999999999992</v>
          </cell>
          <cell r="AJ44">
            <v>35219</v>
          </cell>
          <cell r="AK44">
            <v>25336</v>
          </cell>
          <cell r="AL44">
            <v>108300</v>
          </cell>
          <cell r="AN44">
            <v>21500</v>
          </cell>
        </row>
        <row r="45">
          <cell r="F45">
            <v>0</v>
          </cell>
          <cell r="L45">
            <v>0</v>
          </cell>
          <cell r="M45">
            <v>0</v>
          </cell>
          <cell r="AE45" t="str">
            <v/>
          </cell>
          <cell r="AF45" t="str">
            <v/>
          </cell>
          <cell r="AG45">
            <v>2799.3699999999985</v>
          </cell>
          <cell r="AH45">
            <v>0</v>
          </cell>
          <cell r="AI45">
            <v>302.39999999999992</v>
          </cell>
          <cell r="AJ45">
            <v>35219</v>
          </cell>
          <cell r="AK45">
            <v>25336</v>
          </cell>
          <cell r="AL45">
            <v>108300</v>
          </cell>
          <cell r="AN45">
            <v>21500</v>
          </cell>
        </row>
        <row r="46">
          <cell r="F46">
            <v>0</v>
          </cell>
          <cell r="L46">
            <v>0</v>
          </cell>
          <cell r="M46">
            <v>0</v>
          </cell>
          <cell r="AE46" t="str">
            <v/>
          </cell>
          <cell r="AF46" t="str">
            <v/>
          </cell>
          <cell r="AG46">
            <v>2799.3699999999985</v>
          </cell>
          <cell r="AH46">
            <v>0</v>
          </cell>
          <cell r="AI46">
            <v>302.39999999999992</v>
          </cell>
          <cell r="AJ46">
            <v>35219</v>
          </cell>
          <cell r="AK46">
            <v>25336</v>
          </cell>
          <cell r="AL46">
            <v>108300</v>
          </cell>
          <cell r="AN46">
            <v>21500</v>
          </cell>
        </row>
        <row r="47">
          <cell r="F47">
            <v>0</v>
          </cell>
          <cell r="L47">
            <v>0</v>
          </cell>
          <cell r="M47">
            <v>0</v>
          </cell>
          <cell r="AE47" t="str">
            <v/>
          </cell>
          <cell r="AF47" t="str">
            <v/>
          </cell>
          <cell r="AG47">
            <v>2799.3699999999985</v>
          </cell>
          <cell r="AH47">
            <v>0</v>
          </cell>
          <cell r="AI47">
            <v>302.39999999999992</v>
          </cell>
          <cell r="AJ47">
            <v>35219</v>
          </cell>
          <cell r="AK47">
            <v>25336</v>
          </cell>
          <cell r="AL47">
            <v>108300</v>
          </cell>
          <cell r="AN47">
            <v>21500</v>
          </cell>
        </row>
        <row r="48">
          <cell r="F48">
            <v>0</v>
          </cell>
          <cell r="L48">
            <v>0</v>
          </cell>
          <cell r="M48">
            <v>0</v>
          </cell>
          <cell r="AE48" t="str">
            <v/>
          </cell>
          <cell r="AF48" t="str">
            <v/>
          </cell>
          <cell r="AG48">
            <v>2799.3699999999985</v>
          </cell>
          <cell r="AH48">
            <v>0</v>
          </cell>
          <cell r="AI48">
            <v>302.39999999999992</v>
          </cell>
          <cell r="AJ48">
            <v>35219</v>
          </cell>
          <cell r="AK48">
            <v>25336</v>
          </cell>
          <cell r="AL48">
            <v>108300</v>
          </cell>
          <cell r="AN48">
            <v>21500</v>
          </cell>
        </row>
        <row r="49">
          <cell r="F49">
            <v>0</v>
          </cell>
          <cell r="L49">
            <v>0</v>
          </cell>
          <cell r="M49">
            <v>0</v>
          </cell>
          <cell r="AE49" t="str">
            <v/>
          </cell>
          <cell r="AF49" t="str">
            <v/>
          </cell>
          <cell r="AG49">
            <v>2799.3699999999985</v>
          </cell>
          <cell r="AH49">
            <v>0</v>
          </cell>
          <cell r="AI49">
            <v>302.39999999999992</v>
          </cell>
          <cell r="AJ49">
            <v>35219</v>
          </cell>
          <cell r="AK49">
            <v>25336</v>
          </cell>
          <cell r="AL49">
            <v>108300</v>
          </cell>
          <cell r="AN49">
            <v>21500</v>
          </cell>
        </row>
        <row r="50">
          <cell r="F50">
            <v>0</v>
          </cell>
          <cell r="L50">
            <v>0</v>
          </cell>
          <cell r="M50">
            <v>0</v>
          </cell>
          <cell r="AE50" t="str">
            <v/>
          </cell>
          <cell r="AF50" t="str">
            <v/>
          </cell>
          <cell r="AG50">
            <v>2799.3699999999985</v>
          </cell>
          <cell r="AH50">
            <v>0</v>
          </cell>
          <cell r="AI50">
            <v>302.39999999999992</v>
          </cell>
          <cell r="AJ50">
            <v>35219</v>
          </cell>
          <cell r="AK50">
            <v>25336</v>
          </cell>
          <cell r="AL50">
            <v>108300</v>
          </cell>
          <cell r="AN50">
            <v>21500</v>
          </cell>
        </row>
        <row r="51">
          <cell r="F51">
            <v>0</v>
          </cell>
          <cell r="L51">
            <v>0</v>
          </cell>
          <cell r="M51">
            <v>0</v>
          </cell>
          <cell r="AE51" t="str">
            <v/>
          </cell>
          <cell r="AF51" t="str">
            <v/>
          </cell>
          <cell r="AG51">
            <v>2799.3699999999985</v>
          </cell>
          <cell r="AH51">
            <v>0</v>
          </cell>
          <cell r="AI51">
            <v>302.39999999999992</v>
          </cell>
          <cell r="AJ51">
            <v>35219</v>
          </cell>
          <cell r="AK51">
            <v>25336</v>
          </cell>
          <cell r="AL51">
            <v>108300</v>
          </cell>
          <cell r="AN51">
            <v>21500</v>
          </cell>
        </row>
        <row r="52">
          <cell r="F52">
            <v>0</v>
          </cell>
          <cell r="L52">
            <v>0</v>
          </cell>
          <cell r="M52">
            <v>0</v>
          </cell>
          <cell r="AE52" t="str">
            <v/>
          </cell>
          <cell r="AF52" t="str">
            <v/>
          </cell>
          <cell r="AG52">
            <v>2799.3699999999985</v>
          </cell>
          <cell r="AH52">
            <v>0</v>
          </cell>
          <cell r="AI52">
            <v>302.39999999999992</v>
          </cell>
          <cell r="AJ52">
            <v>35219</v>
          </cell>
          <cell r="AK52">
            <v>25336</v>
          </cell>
          <cell r="AL52">
            <v>108300</v>
          </cell>
          <cell r="AN52">
            <v>21500</v>
          </cell>
        </row>
        <row r="53">
          <cell r="F53">
            <v>0</v>
          </cell>
          <cell r="L53">
            <v>0</v>
          </cell>
          <cell r="M53">
            <v>0</v>
          </cell>
          <cell r="AE53" t="str">
            <v/>
          </cell>
          <cell r="AF53" t="str">
            <v/>
          </cell>
          <cell r="AG53">
            <v>2799.3699999999985</v>
          </cell>
          <cell r="AH53">
            <v>0</v>
          </cell>
          <cell r="AI53">
            <v>302.39999999999992</v>
          </cell>
          <cell r="AJ53">
            <v>35219</v>
          </cell>
          <cell r="AK53">
            <v>25336</v>
          </cell>
          <cell r="AL53">
            <v>108300</v>
          </cell>
          <cell r="AN53">
            <v>21500</v>
          </cell>
        </row>
        <row r="54">
          <cell r="F54">
            <v>0</v>
          </cell>
          <cell r="L54">
            <v>0</v>
          </cell>
          <cell r="M54">
            <v>0</v>
          </cell>
          <cell r="AE54" t="str">
            <v/>
          </cell>
          <cell r="AF54" t="str">
            <v/>
          </cell>
          <cell r="AG54">
            <v>2799.3699999999985</v>
          </cell>
          <cell r="AH54">
            <v>0</v>
          </cell>
          <cell r="AI54">
            <v>302.39999999999992</v>
          </cell>
          <cell r="AJ54">
            <v>35219</v>
          </cell>
          <cell r="AK54">
            <v>25336</v>
          </cell>
          <cell r="AL54">
            <v>108300</v>
          </cell>
          <cell r="AN54">
            <v>21500</v>
          </cell>
        </row>
        <row r="55">
          <cell r="F55">
            <v>0</v>
          </cell>
          <cell r="L55">
            <v>0</v>
          </cell>
          <cell r="M55">
            <v>0</v>
          </cell>
          <cell r="AE55" t="str">
            <v/>
          </cell>
          <cell r="AF55" t="str">
            <v/>
          </cell>
          <cell r="AG55">
            <v>2799.3699999999985</v>
          </cell>
          <cell r="AH55">
            <v>0</v>
          </cell>
          <cell r="AI55">
            <v>302.39999999999992</v>
          </cell>
          <cell r="AJ55">
            <v>35219</v>
          </cell>
          <cell r="AK55">
            <v>25336</v>
          </cell>
          <cell r="AL55">
            <v>108300</v>
          </cell>
          <cell r="AN55">
            <v>21500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MENU"/>
    </sheetNames>
    <definedNames>
      <definedName name="paymenu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S_Form"/>
      <sheetName val="Ports_Data"/>
    </sheetNames>
    <sheetDataSet>
      <sheetData sheetId="0"/>
      <sheetData sheetId="1">
        <row r="4">
          <cell r="A4">
            <v>1</v>
          </cell>
          <cell r="B4" t="str">
            <v>Al'Jubail</v>
          </cell>
          <cell r="C4" t="str">
            <v>Seaports Authority of Saudi Arabia,Jubail Port Management, P.O. Box 276, Jubail</v>
          </cell>
          <cell r="D4" t="str">
            <v>+966 3 361 0600</v>
          </cell>
          <cell r="F4" t="str">
            <v>+966 3 361 3385</v>
          </cell>
          <cell r="G4" t="str">
            <v>831005 JUBPT SJ</v>
          </cell>
          <cell r="M4" t="str">
            <v>Anthony Veder Rederijzaken BV</v>
          </cell>
          <cell r="N4" t="str">
            <v>+31 10 4004800</v>
          </cell>
          <cell r="P4" t="str">
            <v>+31 10 4004858</v>
          </cell>
          <cell r="Q4" t="str">
            <v>24142 avsp nl   / E-Mail: shipman@anthonyveder.nl</v>
          </cell>
          <cell r="R4" t="str">
            <v>King Fahd Industrial Port</v>
          </cell>
          <cell r="S4" t="str">
            <v>+966 (0)3 357 8000</v>
          </cell>
          <cell r="U4" t="str">
            <v>+966 (0)3 357 8013</v>
          </cell>
          <cell r="V4" t="str">
            <v>832031 JUP/PT SJ // 832053 SJ     Port Control:Industrial Marine VHF Ch.67</v>
          </cell>
          <cell r="AB4" t="str">
            <v>SEA DIRECTORY MARITIME (Sedres) , P.O.Box 10990/31961 Al Jubail</v>
          </cell>
          <cell r="AC4" t="str">
            <v>00 966 3 3411774</v>
          </cell>
          <cell r="AD4" t="str">
            <v>T.Raaj 00966-55947004 / Sadic 00966 55900284 / Zael 00966 55900155</v>
          </cell>
          <cell r="AE4" t="str">
            <v>00966 3 3411571</v>
          </cell>
          <cell r="AF4" t="str">
            <v>832099 SJ    E-mail: sedres@anet.net.sa</v>
          </cell>
          <cell r="AG4" t="str">
            <v>Mutual Marine Services Al Mushtaraka Ltd.</v>
          </cell>
          <cell r="AH4" t="str">
            <v>+966 2 652 2666  /  2 652 1350</v>
          </cell>
          <cell r="AJ4" t="str">
            <v>+966 2 652 1944</v>
          </cell>
          <cell r="AK4" t="str">
            <v xml:space="preserve">0495 604044 MSHTRK  </v>
          </cell>
        </row>
        <row r="5">
          <cell r="A5">
            <v>2</v>
          </cell>
          <cell r="B5" t="str">
            <v>Anyer</v>
          </cell>
          <cell r="C5" t="str">
            <v>Oil Pollution Response, The Directorate General of Sea Communication</v>
          </cell>
          <cell r="D5" t="str">
            <v>+62 21 350 6207</v>
          </cell>
          <cell r="F5" t="str">
            <v>+62 21 350 607</v>
          </cell>
          <cell r="R5" t="str">
            <v>Administrator Pelabuhan Banten, Jalan Raya Pulau Merak No 102, Merak</v>
          </cell>
          <cell r="V5" t="str">
            <v>Port control: VHF Ch.12(Port &amp; Pilot)</v>
          </cell>
          <cell r="AB5" t="str">
            <v>BLT – Berlian Laju Tanker</v>
          </cell>
          <cell r="AC5" t="str">
            <v>021 - 3505390</v>
          </cell>
          <cell r="AE5" t="str">
            <v>021 - 34083464</v>
          </cell>
          <cell r="AF5" t="str">
            <v xml:space="preserve">67327 BLT IA   E-mail: </v>
          </cell>
        </row>
        <row r="6">
          <cell r="A6">
            <v>3</v>
          </cell>
          <cell r="B6" t="str">
            <v>Augusta</v>
          </cell>
          <cell r="C6" t="str">
            <v>Centro Operativo Emergenza Inqvinamenti,Roma,Italy</v>
          </cell>
          <cell r="D6" t="str">
            <v>+39 0657223467</v>
          </cell>
          <cell r="E6" t="str">
            <v>+39 329 3810 317 / 352 / 351 / 314</v>
          </cell>
          <cell r="F6" t="str">
            <v>+39 0657223472</v>
          </cell>
          <cell r="G6" t="str">
            <v xml:space="preserve">                                           E-Mail: sdm@minambiente.it             </v>
          </cell>
          <cell r="R6" t="str">
            <v>Port Authority of Augusta,Italy</v>
          </cell>
          <cell r="S6" t="str">
            <v>+39 0931 978922</v>
          </cell>
          <cell r="U6" t="str">
            <v>+39 0931 978009</v>
          </cell>
          <cell r="V6" t="str">
            <v xml:space="preserve">972336 COMPAU I  /   E-Mail: harbour@augol.it                  </v>
          </cell>
          <cell r="AB6" t="str">
            <v>Studio Maritimo Cap.E.Leone</v>
          </cell>
          <cell r="AC6" t="str">
            <v>+39 0931 971035 / 523107</v>
          </cell>
          <cell r="AD6" t="str">
            <v>+39 360 294601 / 240528 Mr.Enzo Leone</v>
          </cell>
          <cell r="AE6" t="str">
            <v>+39 0931 971035</v>
          </cell>
          <cell r="AF6" t="str">
            <v xml:space="preserve">                             E-Mail: eleone@avgol.it</v>
          </cell>
          <cell r="AG6" t="str">
            <v>Tagliavia &amp; Co.S.r.l.Pandi division,Palermo,Italy</v>
          </cell>
          <cell r="AH6" t="str">
            <v>+39 091 587377</v>
          </cell>
          <cell r="AI6" t="str">
            <v>+39 348 6017620 Capt.E.Paglialunga</v>
          </cell>
          <cell r="AJ6" t="str">
            <v>+39 091 580495 / 322435</v>
          </cell>
          <cell r="AK6" t="str">
            <v xml:space="preserve">                                E-Mail: tpandi@tin.it</v>
          </cell>
        </row>
        <row r="7">
          <cell r="A7">
            <v>4</v>
          </cell>
          <cell r="B7" t="str">
            <v>Melilla</v>
          </cell>
          <cell r="C7" t="str">
            <v>Centro Operativo Emergenza Inqvinamenti,Roma,Italy</v>
          </cell>
          <cell r="D7" t="str">
            <v>+39 0657223467</v>
          </cell>
          <cell r="E7" t="str">
            <v>+39 329 3810 317 / 352 / 351 / 314</v>
          </cell>
          <cell r="F7" t="str">
            <v>+39 0657223472</v>
          </cell>
          <cell r="G7" t="str">
            <v xml:space="preserve">                                           E-Mail: sdm@minambiente.it             </v>
          </cell>
          <cell r="R7" t="str">
            <v>Siracusa Port Authority, Capitanera di Porto,Guarda Costera</v>
          </cell>
          <cell r="S7" t="str">
            <v>+39 0931 481011</v>
          </cell>
          <cell r="U7" t="str">
            <v>+39 0931 69260</v>
          </cell>
          <cell r="V7" t="str">
            <v>972484COMPSR             E-Mail: spsrl@sistema.it</v>
          </cell>
          <cell r="AB7" t="str">
            <v>Veanmar Shipping Agency ,Siracusa,Italy</v>
          </cell>
          <cell r="AC7" t="str">
            <v>+39 931 750245</v>
          </cell>
          <cell r="AE7" t="str">
            <v>+39 0931 754344</v>
          </cell>
          <cell r="AF7" t="str">
            <v xml:space="preserve">                                       E-Mail : veanmar@veanmar.191.it</v>
          </cell>
          <cell r="AG7" t="str">
            <v>Tagliavia &amp; Co.S.r.l.Pandi division,Palermo,Italy</v>
          </cell>
          <cell r="AH7" t="str">
            <v>+39 091 587377</v>
          </cell>
          <cell r="AI7" t="str">
            <v>+39 348 6017620 Capt.E.Paglialunga</v>
          </cell>
          <cell r="AJ7" t="str">
            <v>+39 091 580495 / 322435</v>
          </cell>
          <cell r="AK7" t="str">
            <v xml:space="preserve">                                E-Mail: tpandi@tin.it</v>
          </cell>
        </row>
        <row r="8">
          <cell r="A8">
            <v>5</v>
          </cell>
          <cell r="B8" t="str">
            <v>Dubai</v>
          </cell>
          <cell r="C8" t="str">
            <v>Dubai Ports Authority,PO Box 17000,Dubai, UAE</v>
          </cell>
          <cell r="D8" t="str">
            <v>+971 4 881 5000</v>
          </cell>
          <cell r="F8" t="str">
            <v>+971 4 881 7777</v>
          </cell>
          <cell r="G8" t="str">
            <v>47530 DPA EM  /  E-Mail : mktg@dpa.co.al</v>
          </cell>
          <cell r="R8" t="str">
            <v>Dubai Ports Authority,PO Box 17000,Dubai, UAE</v>
          </cell>
          <cell r="S8" t="str">
            <v>+971 4 881 5000</v>
          </cell>
          <cell r="U8" t="str">
            <v>+971 4 881 7777</v>
          </cell>
          <cell r="V8" t="str">
            <v>47530 DPA EM  /  E-Mail : mktg@dpa.co.al</v>
          </cell>
          <cell r="AB8" t="str">
            <v>V.Ships Agency Dubai</v>
          </cell>
          <cell r="AC8" t="str">
            <v>97143313066 / 3310031</v>
          </cell>
          <cell r="AD8" t="str">
            <v>Mr.Nigel D'Silva 9714 3965314</v>
          </cell>
          <cell r="AE8" t="str">
            <v>9714 3310690</v>
          </cell>
          <cell r="AF8" t="str">
            <v>48817 VSHIPS EM</v>
          </cell>
          <cell r="AG8" t="str">
            <v>Gulf Agency Co. ( Dubai ) Pvt. Ltd.</v>
          </cell>
          <cell r="AH8" t="str">
            <v>+971 43 457 555</v>
          </cell>
          <cell r="AJ8" t="str">
            <v>+971 43 458 691 / 43 457 202</v>
          </cell>
          <cell r="AK8" t="str">
            <v>0893 45448 GACDB EM   /  E-Mail : gacdxb.claims@gacdxb01.gulfagencyco.com</v>
          </cell>
        </row>
        <row r="9">
          <cell r="A9">
            <v>6</v>
          </cell>
          <cell r="B9" t="str">
            <v xml:space="preserve"> Fujairah</v>
          </cell>
          <cell r="C9" t="str">
            <v>Fujairah Port Authority , Port ops., P.O. Box 787, Fujairah Emirate.</v>
          </cell>
          <cell r="D9" t="str">
            <v>+971 9 222 8800</v>
          </cell>
          <cell r="F9" t="str">
            <v>+971 9 222 8811</v>
          </cell>
          <cell r="G9" t="str">
            <v>(893) 89085  Email: fujport3@emirates.ner.ae</v>
          </cell>
          <cell r="W9" t="str">
            <v>Fujairah National Shipping Agency /Fensa, P.O.Box 234, Fujairah United Arab Emirates</v>
          </cell>
          <cell r="X9" t="str">
            <v>971 9 222 8151, contact:  Capt S K Bhasin, General Manager</v>
          </cell>
          <cell r="Z9" t="str">
            <v>971 9 222 8640</v>
          </cell>
          <cell r="AA9" t="str">
            <v>(893)89081 FNSA EM</v>
          </cell>
          <cell r="AG9" t="str">
            <v>Gulf Agency ( Fujairah ) Pvt. Ltd. ( W.L.L. )</v>
          </cell>
          <cell r="AH9" t="str">
            <v>+971 9 228 300</v>
          </cell>
          <cell r="AJ9" t="str">
            <v>+971 9 228 269</v>
          </cell>
          <cell r="AK9" t="str">
            <v>0893 89046 GACFUJ EM</v>
          </cell>
        </row>
        <row r="10">
          <cell r="A10">
            <v>7</v>
          </cell>
          <cell r="B10" t="str">
            <v>Kuantan</v>
          </cell>
          <cell r="C10" t="str">
            <v>The Department of Environment, Ministry of Science, Technology and  Environment</v>
          </cell>
          <cell r="D10" t="str">
            <v>+60 3 293 8955/8402</v>
          </cell>
          <cell r="F10" t="str">
            <v>+60 3 293 6006</v>
          </cell>
          <cell r="G10" t="str">
            <v>28154 Mostec  MA</v>
          </cell>
          <cell r="R10" t="str">
            <v>Kuantan Port Authority, Port Ops, Tanjung Gelarg, PO Box 161, 25720 Kuantan, Palang, Malaysia</v>
          </cell>
          <cell r="S10" t="str">
            <v>+60 9583 3201</v>
          </cell>
          <cell r="U10" t="str">
            <v>+60 9583 3866</v>
          </cell>
          <cell r="V10" t="str">
            <v>50234 Plara MA</v>
          </cell>
          <cell r="AB10" t="str">
            <v>BOUSTEAD SHIPPING AGENCIES SDN.BHD. Contact –Mr. Jasmani</v>
          </cell>
          <cell r="AC10" t="str">
            <v>+ 6 09 –5833364/5833526</v>
          </cell>
          <cell r="AE10" t="str">
            <v>+ 6 09 -5833970</v>
          </cell>
          <cell r="AF10" t="str">
            <v>E-mail: bsakn@tm.net.my</v>
          </cell>
        </row>
        <row r="11">
          <cell r="A11">
            <v>8</v>
          </cell>
          <cell r="B11" t="str">
            <v>Lavera</v>
          </cell>
          <cell r="C11" t="str">
            <v xml:space="preserve">Secretariant General de la Mer , Paris </v>
          </cell>
          <cell r="D11" t="str">
            <v>+33 1 42 84 19 04</v>
          </cell>
          <cell r="E11" t="str">
            <v>+ 33 1 42 75 83 32</v>
          </cell>
          <cell r="F11" t="str">
            <v>+33 1 42 84 07 90</v>
          </cell>
          <cell r="H11" t="str">
            <v>Maritime Prefect Mediterranean</v>
          </cell>
          <cell r="I11" t="str">
            <v>+33 494 02 06 43</v>
          </cell>
          <cell r="K11" t="str">
            <v>+33 494 02 13 63</v>
          </cell>
          <cell r="L11" t="str">
            <v>430047</v>
          </cell>
          <cell r="R11" t="str">
            <v>Port Authority de Mar Seille - Port Ops</v>
          </cell>
          <cell r="S11" t="str">
            <v>+ 33 4 91 39 4000</v>
          </cell>
          <cell r="U11" t="str">
            <v>+ 33 4 91 39 5700</v>
          </cell>
          <cell r="V11" t="str">
            <v>440746 PORMA</v>
          </cell>
          <cell r="W11" t="str">
            <v>CROSS MED LAGARDE</v>
          </cell>
          <cell r="X11" t="str">
            <v>+33 4 94 61 71 10</v>
          </cell>
          <cell r="Z11" t="str">
            <v>+33 4 94 27 11 49</v>
          </cell>
          <cell r="AA11" t="str">
            <v xml:space="preserve">                                                 E - Mail: cross.med@equipement.gouv.fr</v>
          </cell>
          <cell r="AB11" t="str">
            <v>Agence Maritime Delpierre</v>
          </cell>
          <cell r="AC11" t="str">
            <v>+33 442060000 / 673394016</v>
          </cell>
          <cell r="AD11" t="str">
            <v>+33 442059068 / 442065000</v>
          </cell>
          <cell r="AE11" t="str">
            <v>+33 442400566 / 442400957</v>
          </cell>
          <cell r="AF11" t="str">
            <v>042 420201delp a                 E-Mail:operation@amd-med.com</v>
          </cell>
          <cell r="AG11" t="str">
            <v>McLeans</v>
          </cell>
          <cell r="AH11" t="str">
            <v>+33 496 102 525</v>
          </cell>
          <cell r="AI11" t="str">
            <v>+33676 090 870 Mr.S.Pelletier / 491374012 Mr.A.McLean</v>
          </cell>
          <cell r="AJ11" t="str">
            <v>+33 491372981 / 496 102 520</v>
          </cell>
          <cell r="AK11" t="str">
            <v>042 440863 PANDI                   E-Mail:McLeans.Marseille@wanadoo.fr</v>
          </cell>
        </row>
        <row r="12">
          <cell r="A12">
            <v>9</v>
          </cell>
          <cell r="B12" t="str">
            <v>Pasir Gudang</v>
          </cell>
          <cell r="C12" t="str">
            <v>The Department of Environment Ministry of Science, Technology and Environment</v>
          </cell>
          <cell r="D12" t="str">
            <v>+ 60 3 293 8955 / 8402</v>
          </cell>
          <cell r="F12" t="str">
            <v>+ 60 3 293 6006</v>
          </cell>
          <cell r="G12" t="str">
            <v>28154 MOSTEC MA</v>
          </cell>
          <cell r="R12" t="str">
            <v>Johor Port Authority P.O Box 66, 81707, Pasir Gudang, Johor, Malaysia</v>
          </cell>
          <cell r="S12" t="str">
            <v>+ 60 7 254 5212</v>
          </cell>
          <cell r="U12" t="str">
            <v>+ 60 7 251 2609</v>
          </cell>
          <cell r="V12" t="str">
            <v xml:space="preserve">     Port Control: </v>
          </cell>
          <cell r="AB12" t="str">
            <v>BARWIL  PASIR GUDANG</v>
          </cell>
          <cell r="AC12" t="str">
            <v>+ 60 7 252 4748/9, HOME: + 60 7 251 9718 (TEL/FAX), MOB: + 60 19 772 6631</v>
          </cell>
          <cell r="AF12" t="str">
            <v>MA 31568 / 60378 BARWIL  E-mail: samy.ramasamy&amp;barwil.com</v>
          </cell>
        </row>
        <row r="13">
          <cell r="A13">
            <v>10</v>
          </cell>
          <cell r="B13" t="str">
            <v>Yarimca</v>
          </cell>
          <cell r="C13" t="str">
            <v>Ministry of Enviroment,Ankara,Turkey</v>
          </cell>
          <cell r="D13" t="str">
            <v>+90 312 287 9963 / 285 1040</v>
          </cell>
          <cell r="F13" t="str">
            <v>+90 312 285 5875</v>
          </cell>
          <cell r="G13" t="str">
            <v xml:space="preserve">                          Website : www.cerve.got.tr</v>
          </cell>
          <cell r="R13" t="str">
            <v>Izmit Port Authority,Izmit,Turkey</v>
          </cell>
          <cell r="S13" t="str">
            <v>+90 262 170669</v>
          </cell>
          <cell r="U13" t="str">
            <v>+90 262 170658</v>
          </cell>
          <cell r="V13" t="str">
            <v>22285 UMIPTR</v>
          </cell>
          <cell r="AB13" t="str">
            <v>Master Maritime Agencies,Istambul,Turkey</v>
          </cell>
          <cell r="AC13" t="str">
            <v>+90 212 259 1136</v>
          </cell>
          <cell r="AE13" t="str">
            <v>+90 212 258 7637</v>
          </cell>
          <cell r="AF13" t="str">
            <v xml:space="preserve">                                   E-Mail : agency@mastership.com</v>
          </cell>
          <cell r="AG13" t="str">
            <v>Vitsan A.S.,Istambul,Turkey</v>
          </cell>
          <cell r="AH13" t="str">
            <v>+90 212 252 0600</v>
          </cell>
          <cell r="AJ13" t="str">
            <v>+90 212 249 4434</v>
          </cell>
          <cell r="AK13" t="str">
            <v xml:space="preserve">060724749VTSN TR  /  E-Mail : vitsan@vitsan.com.tr  /  Website : www.vitsan.com.tr             </v>
          </cell>
        </row>
        <row r="14">
          <cell r="A14">
            <v>11</v>
          </cell>
          <cell r="B14" t="str">
            <v>Singapore</v>
          </cell>
          <cell r="C14" t="str">
            <v>Port Authority of Singapore 7B Keppel Road, 19th  storey, Tainjong Pagar Complex</v>
          </cell>
          <cell r="D14">
            <v>653252488</v>
          </cell>
          <cell r="F14">
            <v>653252484</v>
          </cell>
          <cell r="G14" t="str">
            <v>34970PORTPM</v>
          </cell>
          <cell r="R14" t="str">
            <v>Port Master’s Department (Enforcement Control Centre)</v>
          </cell>
          <cell r="S14" t="str">
            <v>Enforcement Control: +65 220 3803 / 325 2488 / 325 2489</v>
          </cell>
          <cell r="U14" t="str">
            <v xml:space="preserve">Enforcement Control: +65 325 2484 </v>
          </cell>
          <cell r="V14" t="str">
            <v xml:space="preserve">     Port Control: VHF: ch. 07, 16.</v>
          </cell>
          <cell r="AB14" t="str">
            <v>NETWORK SHIPPING CO. PTE LTD.</v>
          </cell>
          <cell r="AC14" t="str">
            <v>+ 65 2763322 / 2261136 / 3233184</v>
          </cell>
          <cell r="AE14" t="str">
            <v>+ 65 2762452</v>
          </cell>
          <cell r="AF14" t="str">
            <v xml:space="preserve">RS21531 NETWORK E-mail: netsin&amp;pacific.net.sg </v>
          </cell>
          <cell r="AG14" t="str">
            <v>Spica Services (S) Pte. Ltd</v>
          </cell>
          <cell r="AH14" t="str">
            <v>+65 225 5711 / 9728 7708</v>
          </cell>
          <cell r="AI14" t="str">
            <v>Mr. Thomas Yan Tel: +65 746 3945., Mr. Dughall Aitken Tel: +65 442 2109</v>
          </cell>
          <cell r="AJ14" t="str">
            <v>+65 221 2053</v>
          </cell>
          <cell r="AK14" t="str">
            <v>087 56911 SPICA</v>
          </cell>
        </row>
        <row r="15">
          <cell r="A15">
            <v>12</v>
          </cell>
          <cell r="B15" t="str">
            <v>Teesport</v>
          </cell>
          <cell r="C15" t="str">
            <v>MAREP, Coastguard, Dover</v>
          </cell>
          <cell r="D15" t="str">
            <v>(+44)  1304 210 / 008</v>
          </cell>
          <cell r="F15" t="str">
            <v>(+44) 1304 210302</v>
          </cell>
          <cell r="G15" t="str">
            <v>(+51) 96273</v>
          </cell>
          <cell r="R15" t="str">
            <v>Tees &amp; Hartlepool Port Authority Ltd.</v>
          </cell>
          <cell r="S15" t="str">
            <v>(+44) 1642 877 000</v>
          </cell>
          <cell r="U15" t="str">
            <v>(+44) 1642 877 056</v>
          </cell>
          <cell r="W15" t="str">
            <v>Port Operations and Information Services</v>
          </cell>
          <cell r="X15" t="str">
            <v>(+44) 1642 277 205 / 277 206</v>
          </cell>
          <cell r="Z15" t="str">
            <v>(+44) 1642 277 207</v>
          </cell>
          <cell r="AA15" t="str">
            <v>(+51) 581 45 HM TEESG / E-Mail: port.operation@pdports.co.uk</v>
          </cell>
          <cell r="AB15" t="str">
            <v>Casper Shipping Ltd.</v>
          </cell>
          <cell r="AC15" t="str">
            <v>(+44) 1642 243662</v>
          </cell>
          <cell r="AD15" t="str">
            <v>(+44) 1642 750016 Mr. Richard Booth</v>
          </cell>
          <cell r="AE15" t="str">
            <v>(+44) 1642 24 3936</v>
          </cell>
          <cell r="AF15" t="str">
            <v>(+51) 58462 clkson</v>
          </cell>
          <cell r="AG15" t="str">
            <v>Thomas miller P&amp;I Ltd., London</v>
          </cell>
          <cell r="AH15" t="str">
            <v>(+44) 2072834646</v>
          </cell>
          <cell r="AI15" t="str">
            <v>(+44) 1255 676172 Mr. Martyn Haines</v>
          </cell>
          <cell r="AJ15" t="str">
            <v>(+44)  20 7204 2103</v>
          </cell>
          <cell r="AK15" t="str">
            <v>(+51) 885271 / E-Mail : correspondents.ukclub@thomasmiller.com</v>
          </cell>
        </row>
        <row r="16">
          <cell r="A16">
            <v>13</v>
          </cell>
          <cell r="B16" t="str">
            <v>Porbandar</v>
          </cell>
          <cell r="C16" t="str">
            <v>Porbandar Port Authority</v>
          </cell>
          <cell r="D16" t="str">
            <v>+9128620147</v>
          </cell>
          <cell r="G16" t="str">
            <v>166210 GMBP IN</v>
          </cell>
          <cell r="R16" t="str">
            <v>Porbandar Port Authority</v>
          </cell>
          <cell r="S16" t="str">
            <v>+9128620147</v>
          </cell>
          <cell r="V16" t="str">
            <v>166210 GMBP IN</v>
          </cell>
          <cell r="AB16" t="str">
            <v>VELJI P. &amp; SONS PVT. LTD</v>
          </cell>
          <cell r="AC16" t="str">
            <v>( 0 ) 2241047 / 2246410 / 2242663</v>
          </cell>
          <cell r="AE16" t="str">
            <v>91 286 2244694</v>
          </cell>
          <cell r="AF16" t="str">
            <v>0166 213 VPSP IN   /  E-Mail : veljipeesons@vsnl.com</v>
          </cell>
          <cell r="AG16" t="str">
            <v>Pandi Correspondents Pvt, Ltd.</v>
          </cell>
          <cell r="AH16" t="str">
            <v>+91 22 204 3273/3253  +91 22 281 1329/1329  +91 22 284 3059</v>
          </cell>
          <cell r="AJ16" t="str">
            <v>+91 22 284 2356/2123</v>
          </cell>
          <cell r="AK16" t="str">
            <v>E - Mail : pandi@vsnl.com</v>
          </cell>
        </row>
        <row r="17">
          <cell r="A17">
            <v>14</v>
          </cell>
          <cell r="B17" t="str">
            <v>Brindisi</v>
          </cell>
          <cell r="C17" t="str">
            <v>Centro Operativo Emergenza Inqvinamenti,Roma,Italy</v>
          </cell>
          <cell r="D17" t="str">
            <v>+39 0657223467</v>
          </cell>
          <cell r="E17" t="str">
            <v>+39 329 3810 317 / 352 / 351 / 314</v>
          </cell>
          <cell r="F17" t="str">
            <v>+39 0657223472</v>
          </cell>
          <cell r="G17" t="str">
            <v xml:space="preserve">                                           E-Mail: sdm@minambiente.it             </v>
          </cell>
          <cell r="R17" t="str">
            <v>Brindisi Port Authority, piazza V Emanuele 1, I-72100</v>
          </cell>
          <cell r="S17" t="str">
            <v>+39 0831 562 650</v>
          </cell>
          <cell r="U17" t="str">
            <v>+39 0831 562 225</v>
          </cell>
          <cell r="V17">
            <v>86094</v>
          </cell>
          <cell r="AB17" t="str">
            <v>POSEIDONE SRL Shipping Agency,Brindisi,Italy</v>
          </cell>
          <cell r="AC17" t="str">
            <v>+39 831 524872</v>
          </cell>
          <cell r="AE17" t="str">
            <v>+39 831 564025</v>
          </cell>
          <cell r="AF17" t="str">
            <v>051 94078270 psdng                              E-Mail:poseidon@interbuisness.it</v>
          </cell>
          <cell r="AG17" t="str">
            <v>Stubio Legale Marrazza</v>
          </cell>
          <cell r="AH17" t="str">
            <v>+39 831 523426 / 526902</v>
          </cell>
          <cell r="AI17" t="str">
            <v>+39 831 529918 / Mob. 3486005926 Mr.T Marrazza</v>
          </cell>
          <cell r="AJ17" t="str">
            <v>+39 831 564 185</v>
          </cell>
          <cell r="AK17" t="str">
            <v xml:space="preserve">                   E-Mail:marrazza@tin.it</v>
          </cell>
        </row>
        <row r="18">
          <cell r="A18">
            <v>15</v>
          </cell>
          <cell r="B18" t="str">
            <v>Tarragona</v>
          </cell>
          <cell r="C18" t="str">
            <v>Autoridad Portuaria de Tarragona , Passeig de I'escullera s/n, E-43004 ,</v>
          </cell>
          <cell r="D18" t="str">
            <v>+34 977 25900</v>
          </cell>
          <cell r="F18" t="str">
            <v>+34 977 225499</v>
          </cell>
          <cell r="AB18" t="str">
            <v>E. Erdhard Y</v>
          </cell>
        </row>
        <row r="19">
          <cell r="A19">
            <v>16</v>
          </cell>
          <cell r="B19" t="str">
            <v>Mumbai</v>
          </cell>
          <cell r="C19" t="str">
            <v>Indian Coast Guard</v>
          </cell>
          <cell r="D19" t="str">
            <v>+99113384934</v>
          </cell>
          <cell r="F19" t="str">
            <v>+91113383196</v>
          </cell>
          <cell r="G19" t="str">
            <v>813165359</v>
          </cell>
          <cell r="R19" t="str">
            <v>Mumbai Port Trust - Port Ops.</v>
          </cell>
          <cell r="S19" t="str">
            <v xml:space="preserve">+91 22 261 4321 </v>
          </cell>
          <cell r="U19" t="str">
            <v>+91 22 261 1011</v>
          </cell>
          <cell r="V19" t="str">
            <v>011 81047 MBPT IN   /   E-Mail: mbpt@giasbm01.vsnl.in</v>
          </cell>
          <cell r="AB19" t="str">
            <v>South India Corpporation  Ltd.</v>
          </cell>
          <cell r="AC19" t="str">
            <v>+91 22 2661905 / 2661939 / 2661808</v>
          </cell>
          <cell r="AE19" t="str">
            <v>+91 22 2662001</v>
          </cell>
          <cell r="AF19" t="str">
            <v>81 11 82198 GDWL   /   E-Mail : SHPMUM@GNBOM.GLOBAL.NET.IN</v>
          </cell>
          <cell r="AG19" t="str">
            <v>Pandi Correspondents Pvt, Ltd.</v>
          </cell>
          <cell r="AH19" t="str">
            <v>+91 22 204 3273/3253  +91 22 281 1329/1329  +91 22 284 3059</v>
          </cell>
          <cell r="AJ19" t="str">
            <v>+91 22 284 2356/2123</v>
          </cell>
          <cell r="AK19" t="str">
            <v>E - Mail : pandi@vsnl.com</v>
          </cell>
        </row>
        <row r="20">
          <cell r="A20">
            <v>17</v>
          </cell>
          <cell r="B20" t="str">
            <v>Porto Torres</v>
          </cell>
          <cell r="C20" t="str">
            <v>Centro Operativo Emergenza Inqvinamenti,Roma,Italy</v>
          </cell>
          <cell r="D20" t="str">
            <v>+39 0657223467</v>
          </cell>
          <cell r="E20" t="str">
            <v>+39 329 3810 317 / 352 / 351 / 314</v>
          </cell>
          <cell r="F20" t="str">
            <v>+39 0657223472</v>
          </cell>
          <cell r="G20" t="str">
            <v xml:space="preserve">                                           E-Mail: sdm@minambiente.it             </v>
          </cell>
          <cell r="R20" t="str">
            <v>Porto Torres Port Authority</v>
          </cell>
          <cell r="S20" t="str">
            <v>+39 079 50 22 58</v>
          </cell>
          <cell r="AB20" t="str">
            <v>Sitra SRL C/O GMS MAR</v>
          </cell>
          <cell r="AC20" t="str">
            <v>+39 079 514613 / 415</v>
          </cell>
          <cell r="AE20" t="str">
            <v>+39 079 514630</v>
          </cell>
          <cell r="AF20" t="str">
            <v>792050 GMSMAR I                  E-Mail:GMSMAR@TIN.IT</v>
          </cell>
          <cell r="AG20" t="str">
            <v>Studio Legale G Vincenzini Associati</v>
          </cell>
          <cell r="AH20" t="str">
            <v>+39 070 654485</v>
          </cell>
          <cell r="AJ20" t="str">
            <v>+39 070 654485 / 0586240240</v>
          </cell>
          <cell r="AK20" t="str">
            <v xml:space="preserve">   E-Mail:vincag@tincati.it</v>
          </cell>
        </row>
        <row r="21">
          <cell r="A21">
            <v>18</v>
          </cell>
          <cell r="B21" t="str">
            <v>Naples</v>
          </cell>
          <cell r="C21" t="str">
            <v>Centro Operativo Emergenza Inqvinamenti,Roma,Italy</v>
          </cell>
          <cell r="D21" t="str">
            <v>+39 0657223467</v>
          </cell>
          <cell r="E21" t="str">
            <v>+39 329 3810 317 / 352 / 351 / 314</v>
          </cell>
          <cell r="F21" t="str">
            <v>+39 0657223472</v>
          </cell>
          <cell r="G21" t="str">
            <v xml:space="preserve">                                           E-Mail: sdm@minambiente.it             </v>
          </cell>
          <cell r="R21" t="str">
            <v>Naples Port Authority</v>
          </cell>
          <cell r="S21" t="str">
            <v>+39 081 20 6929</v>
          </cell>
          <cell r="U21" t="str">
            <v>+39 081 20 68 89</v>
          </cell>
          <cell r="V21" t="str">
            <v>721271 CAPN          E-Mail:autoritaportualedinapoli@tin.it</v>
          </cell>
          <cell r="AB21" t="str">
            <v>Sitra SRL C/O Fratelli Consulich</v>
          </cell>
          <cell r="AC21" t="str">
            <v>+39 081 7047561 / 38</v>
          </cell>
          <cell r="AE21" t="str">
            <v>+39 081 4233508</v>
          </cell>
          <cell r="AF21" t="str">
            <v>710166 COS NA I                       E-Mail:COSTA@COSULICH.IT</v>
          </cell>
          <cell r="AG21" t="str">
            <v>Holme &amp; Co.S.r.l.</v>
          </cell>
          <cell r="AH21" t="str">
            <v>+39 081 764 7052 / 7075</v>
          </cell>
          <cell r="AI21" t="str">
            <v>+39 081 556 7967</v>
          </cell>
          <cell r="AJ21" t="str">
            <v>+39 081 764 7520</v>
          </cell>
          <cell r="AK21" t="str">
            <v>043 710027 HOLME I          Website:www.holme.it</v>
          </cell>
        </row>
        <row r="22">
          <cell r="A22">
            <v>19</v>
          </cell>
          <cell r="B22" t="str">
            <v>Bordeaux</v>
          </cell>
          <cell r="C22" t="str">
            <v xml:space="preserve">Secretariant General de la Mer , Paris </v>
          </cell>
          <cell r="D22" t="str">
            <v>+33 1 42 84 19 04</v>
          </cell>
          <cell r="E22" t="str">
            <v>+ 33 1 42 75 83 32</v>
          </cell>
          <cell r="F22" t="str">
            <v>+33 1 42 84 07 90</v>
          </cell>
          <cell r="H22" t="str">
            <v>Maritime Prefect Atlantic</v>
          </cell>
          <cell r="I22" t="str">
            <v xml:space="preserve">+ 33 2 98 22 10 80 </v>
          </cell>
          <cell r="K22" t="str">
            <v>+ 33 2 98 22 13 19</v>
          </cell>
          <cell r="L22" t="str">
            <v>940527</v>
          </cell>
          <cell r="R22" t="str">
            <v>Port Authority de Bordeaux</v>
          </cell>
          <cell r="S22" t="str">
            <v>+33 556905800</v>
          </cell>
          <cell r="U22" t="str">
            <v>+33 556905877</v>
          </cell>
          <cell r="V22" t="str">
            <v>570617 E-Mail:postoffice@bordeaux-port.fr</v>
          </cell>
          <cell r="W22" t="str">
            <v>CROSS CORSEN</v>
          </cell>
          <cell r="X22" t="str">
            <v>+ 33 2 98 89 31 31</v>
          </cell>
          <cell r="Z22" t="str">
            <v>+33 2 98 89 65 75</v>
          </cell>
          <cell r="AA22" t="str">
            <v xml:space="preserve">                E-Mail:cross-corsen@eguipment.gouv.fr</v>
          </cell>
          <cell r="AB22" t="str">
            <v>Balguerie Port Agency S.A. Balport</v>
          </cell>
          <cell r="AC22" t="str">
            <v>+33 575 57 33 33</v>
          </cell>
          <cell r="AD22" t="str">
            <v>+33 680 645552 / 609 921909</v>
          </cell>
          <cell r="AE22" t="str">
            <v>+33 575 57 33 24</v>
          </cell>
          <cell r="AF22" t="str">
            <v>042 42560031                        E-Mail:balport@balguerie.com</v>
          </cell>
          <cell r="AG22" t="str">
            <v>Boquien S.A.</v>
          </cell>
          <cell r="AH22" t="str">
            <v>+33 556508330</v>
          </cell>
          <cell r="AI22" t="str">
            <v>+33 556087723</v>
          </cell>
          <cell r="AJ22" t="str">
            <v>+33 556390480</v>
          </cell>
          <cell r="AK22" t="str">
            <v>042 560050 BORDO           E-Mail:boquien@wanadoo.fr</v>
          </cell>
        </row>
        <row r="23">
          <cell r="A23">
            <v>20</v>
          </cell>
          <cell r="B23" t="str">
            <v>Antwerp</v>
          </cell>
          <cell r="C23" t="str">
            <v>Administration of Maritime Affairs and Shipping Department of Transport and Infrastructure</v>
          </cell>
          <cell r="D23" t="str">
            <v>+32 2 233 12 11</v>
          </cell>
          <cell r="E23" t="str">
            <v>+ 32 3 22 20 811 / +32 59 50 09 25</v>
          </cell>
          <cell r="F23" t="str">
            <v>+ 32 2 230 30 02 / +32 59 80 63 88 / +32 3 23 36 760 / +32 59 82 23 31</v>
          </cell>
          <cell r="G23" t="str">
            <v>61 880 VERTA B / 35028 MARPOL B / 82231 MARPOL B</v>
          </cell>
          <cell r="R23" t="str">
            <v>Antwerp Port Authority</v>
          </cell>
          <cell r="S23" t="str">
            <v>+32 32052011</v>
          </cell>
          <cell r="U23" t="str">
            <v>+32 32052020</v>
          </cell>
          <cell r="V23" t="str">
            <v xml:space="preserve">         E-Mail:info@haven.antwerpen.be</v>
          </cell>
          <cell r="W23" t="str">
            <v>Marine Rescue Co-ordination Centre</v>
          </cell>
          <cell r="X23" t="str">
            <v>+32 59 701 000 / 100 / +32 59 55 28 11</v>
          </cell>
          <cell r="Z23" t="str">
            <v>+32 59 70 36 05</v>
          </cell>
          <cell r="AA23" t="str">
            <v>82125 LOODSW B</v>
          </cell>
          <cell r="AB23" t="str">
            <v>LBH Liquid Belgium NV</v>
          </cell>
          <cell r="AC23" t="str">
            <v>+32 3 2050640</v>
          </cell>
          <cell r="AE23" t="str">
            <v>+32 3 2050644</v>
          </cell>
          <cell r="AF23" t="str">
            <v xml:space="preserve">       E-Mail:info@lbhliquid.be</v>
          </cell>
          <cell r="AG23" t="str">
            <v>Caethoven NV</v>
          </cell>
          <cell r="AH23" t="str">
            <v>+32 3206 0050</v>
          </cell>
          <cell r="AJ23" t="str">
            <v>+32 3206 0059</v>
          </cell>
          <cell r="AK23" t="str">
            <v xml:space="preserve">              E-Mail:mail@caethoven.be</v>
          </cell>
        </row>
        <row r="24">
          <cell r="A24">
            <v>22</v>
          </cell>
          <cell r="B24" t="str">
            <v>Mohammedia</v>
          </cell>
          <cell r="C24" t="str">
            <v>Ministere du Transport et de la Marine Marchande Direction de la Marine Marchande</v>
          </cell>
          <cell r="D24" t="str">
            <v>+212 22 22 1931 / 27 8092 / 6010</v>
          </cell>
          <cell r="F24" t="str">
            <v>+212 22 27 3340</v>
          </cell>
          <cell r="G24" t="str">
            <v>24613 M                 E-Mail:marine@maroconline.com</v>
          </cell>
        </row>
        <row r="25">
          <cell r="A25">
            <v>23</v>
          </cell>
          <cell r="B25" t="str">
            <v>Houston</v>
          </cell>
          <cell r="C25" t="str">
            <v>National Response Center</v>
          </cell>
          <cell r="D25" t="str">
            <v>+1 800 424 8802 / +1 202 267 2675</v>
          </cell>
          <cell r="F25" t="str">
            <v>+1 202 267 4085 / 4065 / 2165</v>
          </cell>
          <cell r="G25" t="str">
            <v>892427</v>
          </cell>
          <cell r="H25" t="str">
            <v>U.S.A. CHEMTREC</v>
          </cell>
          <cell r="I25" t="str">
            <v>+1 800 424 9300 / +1 202 483 7616</v>
          </cell>
          <cell r="R25" t="str">
            <v>Port of Houston Authority</v>
          </cell>
          <cell r="S25" t="str">
            <v>+1  713 670 2400</v>
          </cell>
          <cell r="U25" t="str">
            <v>+1 713 670 2529</v>
          </cell>
          <cell r="V25" t="str">
            <v xml:space="preserve">                E-Mail: mktresrh@poa.com       Website:http://www.portofhouston.com</v>
          </cell>
          <cell r="W25" t="str">
            <v>Dow North America   Industrial Security</v>
          </cell>
          <cell r="X25" t="str">
            <v>+1 49 238 2112</v>
          </cell>
          <cell r="AB25" t="str">
            <v>Robin Maritime Agencies LLC</v>
          </cell>
          <cell r="AC25" t="str">
            <v>+1 281 209 3498</v>
          </cell>
          <cell r="AE25" t="str">
            <v>+1 281 966 1816</v>
          </cell>
          <cell r="AF25" t="str">
            <v xml:space="preserve">                               E-Mail: houstonops@robinus.com</v>
          </cell>
          <cell r="AG25" t="str">
            <v>Royston, Rayzor, Vickey &amp;Williams</v>
          </cell>
          <cell r="AH25" t="str">
            <v>+1 713 224 8380</v>
          </cell>
          <cell r="AJ25" t="str">
            <v>+1 713 225 9945</v>
          </cell>
          <cell r="AK25" t="str">
            <v>0 23 6869017      E-Mail: royston @roystonlaw.com    Website://www.roystonlaw.com</v>
          </cell>
        </row>
        <row r="26">
          <cell r="A26">
            <v>24</v>
          </cell>
          <cell r="B26" t="str">
            <v>Dunkerque</v>
          </cell>
          <cell r="C26" t="str">
            <v>CROSS Gris -Nez</v>
          </cell>
          <cell r="D26" t="str">
            <v xml:space="preserve"> +33 03 21872187</v>
          </cell>
          <cell r="F26" t="str">
            <v xml:space="preserve"> +33 03 21877855</v>
          </cell>
          <cell r="G26" t="str">
            <v xml:space="preserve"> +42 130680  E - mail: ops.cross-gris-nez@equipment.gouv.fr</v>
          </cell>
          <cell r="H26" t="str">
            <v>Pollution Authorities MRCC GRISNEZ</v>
          </cell>
          <cell r="I26" t="str">
            <v>+33 321 87 21 87</v>
          </cell>
          <cell r="K26" t="str">
            <v>+33 321 87 78 55</v>
          </cell>
          <cell r="L26" t="str">
            <v xml:space="preserve"> +42 130680 CROSSGN F;  Inm C: 422799256</v>
          </cell>
          <cell r="R26" t="str">
            <v>Port Authority</v>
          </cell>
          <cell r="S26" t="str">
            <v>+33 328 28 78 78</v>
          </cell>
          <cell r="U26" t="str">
            <v>+33 328 28 78 77</v>
          </cell>
          <cell r="V26" t="str">
            <v>E-Mail : info@portdukerque.fr</v>
          </cell>
          <cell r="W26" t="str">
            <v>Harbour Master</v>
          </cell>
          <cell r="X26" t="str">
            <v>+33 328 28 75 96</v>
          </cell>
          <cell r="Z26" t="str">
            <v>+33 328 28 75 97</v>
          </cell>
          <cell r="AA26" t="str">
            <v>820 055F / E-Mail : jclecalvez@portdunkerque.fr</v>
          </cell>
          <cell r="AB26" t="str">
            <v>Agence Maritime Delpierre S. A.</v>
          </cell>
          <cell r="AC26" t="str">
            <v>+33 328 65 86 00</v>
          </cell>
          <cell r="AE26" t="str">
            <v>+33 328 66 44 22</v>
          </cell>
          <cell r="AF26" t="str">
            <v>042-820928 stone / E - mail : delpierre@netinfo.fr</v>
          </cell>
          <cell r="AG26" t="str">
            <v>J C Leroy</v>
          </cell>
          <cell r="AH26" t="str">
            <v>+33 328 66 74 00</v>
          </cell>
          <cell r="AI26" t="str">
            <v>+33 07846923</v>
          </cell>
          <cell r="AJ26" t="str">
            <v>+33 328 21 01 54</v>
          </cell>
          <cell r="AK26" t="str">
            <v>042 82 09 83 NAVBROK / E-Mail : asgm-pi@gofornet.com</v>
          </cell>
        </row>
        <row r="27">
          <cell r="A27">
            <v>25</v>
          </cell>
          <cell r="B27" t="str">
            <v>Praia</v>
          </cell>
          <cell r="C27" t="str">
            <v>Search &amp; Rescue. Comando da Guardo Costeria Largo Tenis-Praia, Cape Verde</v>
          </cell>
          <cell r="D27" t="str">
            <v>+ 238 41 1730</v>
          </cell>
          <cell r="F27" t="str">
            <v>+238 41 12 19</v>
          </cell>
          <cell r="H27" t="str">
            <v>ENAPOR-Empressa Nacional de Administraccio dos Portos</v>
          </cell>
          <cell r="I27" t="str">
            <v>+238 324 414</v>
          </cell>
          <cell r="K27" t="str">
            <v>+238 324 337</v>
          </cell>
          <cell r="L27" t="str">
            <v>993 3049 ENAPOR CV / E-Mail enapor@mail.cvelecom</v>
          </cell>
          <cell r="R27" t="str">
            <v>Merchant Shipping. Direccao Geral das Alfandegas. Avendia Baltazar Lopes</v>
          </cell>
          <cell r="S27" t="str">
            <v xml:space="preserve">+238 31 43 42 </v>
          </cell>
          <cell r="U27" t="str">
            <v>+238 31 65 19</v>
          </cell>
          <cell r="W27" t="str">
            <v>State Inspection of ships. Direccao Geral de Marinha e Portos</v>
          </cell>
          <cell r="X27" t="str">
            <v>+238 31 43 42</v>
          </cell>
          <cell r="Z27" t="str">
            <v>+238 31 65 19</v>
          </cell>
          <cell r="AB27" t="str">
            <v>Agencia Nacional de Viagens Sarl.Rua Serpa Pinto P.O.Box 58 Praia,Cape Verde</v>
          </cell>
          <cell r="AC27" t="str">
            <v>+ 238 603 100 / 603 101</v>
          </cell>
          <cell r="AD27" t="str">
            <v>+ 238 91 99 03 Mr Euclides Pereira ( Gen. Manager )</v>
          </cell>
          <cell r="AE27" t="str">
            <v>+ 238 612 162</v>
          </cell>
          <cell r="AF27" t="str">
            <v>E-Mail : anavpraia@cvtelecom.cv</v>
          </cell>
          <cell r="AG27" t="str">
            <v>Eltvedt &amp; O'Sullivan, Marseille</v>
          </cell>
          <cell r="AH27" t="str">
            <v>+33 491 140 160</v>
          </cell>
          <cell r="AI27" t="str">
            <v>Diane Bularot +33 442 723 843 / Mobile phone +33 609 580 697</v>
          </cell>
          <cell r="AJ27" t="str">
            <v>+33 491 561 281</v>
          </cell>
          <cell r="AK27" t="str">
            <v>440 368 ELVOS / E-Mail: mail@etvedtosullivan.com</v>
          </cell>
        </row>
        <row r="28">
          <cell r="A28">
            <v>26</v>
          </cell>
          <cell r="B28" t="str">
            <v>Dakar</v>
          </cell>
          <cell r="C28" t="str">
            <v>Port Autonome de Dakar, BP 3195, Dakar, Senegal</v>
          </cell>
          <cell r="D28" t="str">
            <v>+ 221 224 279</v>
          </cell>
          <cell r="F28" t="str">
            <v>+ 221 213 606 Port Capitan</v>
          </cell>
          <cell r="G28" t="str">
            <v>+ 906 51 406 PORCOMER SG &amp; + 906 21 404 PADKR SG</v>
          </cell>
          <cell r="AB28" t="str">
            <v>ITOC Shipping S.A.Immeuble Fondation Fahd,7etage.Bd Djily Ribaye,2591,Dakar,Senegal</v>
          </cell>
          <cell r="AC28" t="str">
            <v>+ 221 82 117 57 / 822 6119/ Mobile : +221 821 0522 / 820 15 43</v>
          </cell>
          <cell r="AD28" t="str">
            <v>+ 221 638 32 77 Charles Sohai</v>
          </cell>
          <cell r="AE28" t="str">
            <v>+221 822 46 46</v>
          </cell>
          <cell r="AF28" t="str">
            <v>0906 215 98 ITSHIP SG / E-Mail : itcoshipping@ sentco.sn</v>
          </cell>
          <cell r="AG28" t="str">
            <v>Eltvedt &amp; O'Sullivan, Marseille</v>
          </cell>
          <cell r="AH28" t="str">
            <v>+33 491 140 160</v>
          </cell>
          <cell r="AI28" t="str">
            <v>Diane Bularot +33 442 723 843 / Mobile phone +33 609 580 697</v>
          </cell>
          <cell r="AJ28" t="str">
            <v>+33 491 561 281</v>
          </cell>
          <cell r="AK28" t="str">
            <v>440 368 ELVOS / E-Mail: mail@etvedtosullivan.com</v>
          </cell>
        </row>
        <row r="29">
          <cell r="A29">
            <v>27</v>
          </cell>
          <cell r="B29" t="str">
            <v>Aratu</v>
          </cell>
          <cell r="C29" t="str">
            <v>COMCONTRAM,Edificio Almirante Tamandare 6 andar Praca Barao de Ladario ,S / N, Centro Rio de Janeiro-RJ-Brazil CEP : 20091-000</v>
          </cell>
          <cell r="D29" t="str">
            <v>+55 (0)21 3870 6353</v>
          </cell>
          <cell r="F29" t="str">
            <v>+55(0)21 3870 6341</v>
          </cell>
          <cell r="G29" t="str">
            <v>+38(021) 213 6931 / 213 0933 / E-Mail : controle@cotram.mar.mil.br.</v>
          </cell>
          <cell r="H29" t="str">
            <v>Port Authorities : Companhia das Docas do Estada da Bahia CODEBA,Av.Almirante A.Linhares 43. Ilheus, BA,Brazil</v>
          </cell>
          <cell r="I29" t="str">
            <v>+55 73 231 1962</v>
          </cell>
          <cell r="K29" t="str">
            <v>+55 73 231 1300</v>
          </cell>
          <cell r="L29" t="str">
            <v>0711110 / E-Mail : codeba@svn.com.br.</v>
          </cell>
          <cell r="R29" t="str">
            <v>Port Operator : Tequimar-Terminal Quimico,Via Matoim S/N Porto de Aratu Candeisas, BA,43000-000, Brasil</v>
          </cell>
          <cell r="S29" t="str">
            <v>+55 21 71 /802 1021</v>
          </cell>
          <cell r="U29" t="str">
            <v>+55 21 7180 23170</v>
          </cell>
          <cell r="AB29" t="str">
            <v>CABOTO Commercial e Maritima LTDA</v>
          </cell>
          <cell r="AC29" t="str">
            <v>71 241 0611</v>
          </cell>
          <cell r="AE29" t="str">
            <v>71 241 5022</v>
          </cell>
          <cell r="AF29" t="str">
            <v>71 3965 CTOM BR / 71 1141 DANT BR. / E-Mail : caboto@caboto.com.br</v>
          </cell>
          <cell r="AG29" t="str">
            <v>Williams ( Servicos Maritimos ) Ltda.</v>
          </cell>
          <cell r="AH29" t="str">
            <v>+55 71 242 3478 / 71 241 5122</v>
          </cell>
          <cell r="AI29" t="str">
            <v>Amir Queiroz 71 356 0024 Mob: 71 9974 0986</v>
          </cell>
          <cell r="AJ29" t="str">
            <v>71 243 9048</v>
          </cell>
          <cell r="AK29" t="str">
            <v>038 811000 WILLBR / E-Mail : willssa@williams.com.br.</v>
          </cell>
        </row>
        <row r="30">
          <cell r="A30">
            <v>28</v>
          </cell>
          <cell r="B30" t="str">
            <v>Stade</v>
          </cell>
          <cell r="C30" t="str">
            <v>Central reporting point Cuxhaven</v>
          </cell>
          <cell r="D30" t="str">
            <v>+ 49 4721 56 73 92</v>
          </cell>
          <cell r="F30" t="str">
            <v>+49 4721 56 73 93 / 56 73 94</v>
          </cell>
          <cell r="R30" t="str">
            <v>NHS Niedersachsishes Hafenamt Cuxhaven, Anssenstelle Butzfleth, Germany</v>
          </cell>
          <cell r="S30" t="str">
            <v>+49 4146 93810</v>
          </cell>
          <cell r="U30" t="str">
            <v>+49 4146 93819</v>
          </cell>
          <cell r="W30" t="str">
            <v>Search &amp; Rescue. German Lifeboat Institution. Werderstasse 2, 28199, Bremen, Germany</v>
          </cell>
          <cell r="X30" t="str">
            <v>+49 421 537 070</v>
          </cell>
          <cell r="Z30" t="str">
            <v>+49 421 537 0714</v>
          </cell>
          <cell r="AB30" t="str">
            <v>Sartory &amp; Berger, Hafen Butzfleth 21683, Stade Germany</v>
          </cell>
          <cell r="AC30" t="str">
            <v>+49 4146 930093 / Mobile +49 171 431 4351</v>
          </cell>
          <cell r="AD30" t="str">
            <v>+49 4855 569 Mr. H. Rast</v>
          </cell>
          <cell r="AE30" t="str">
            <v>+49 4852 88935</v>
          </cell>
          <cell r="AF30" t="str">
            <v>041 28324 SUBB D</v>
          </cell>
          <cell r="AG30" t="str">
            <v>Sartory &amp; Berger, Elbe Hafen Verwaltungsgebacude 25541 Brunsbuttel, Germany</v>
          </cell>
          <cell r="AH30" t="str">
            <v>+49 43198108</v>
          </cell>
          <cell r="AI30" t="str">
            <v>+49 4346 36022 / mob +49 171 407 1178 / Fax +49 4346 36024</v>
          </cell>
          <cell r="AJ30" t="str">
            <v>+49 431 96 108</v>
          </cell>
          <cell r="AK30" t="str">
            <v>041 292832 SBK D / E-Mail: mail@sartori-berger.de</v>
          </cell>
        </row>
        <row r="31">
          <cell r="A31">
            <v>29</v>
          </cell>
          <cell r="B31" t="str">
            <v>Zeebrugge</v>
          </cell>
          <cell r="C31" t="str">
            <v>Administration of Maritime Affairs and Shipping Department of Transport and Infrastructure</v>
          </cell>
          <cell r="D31" t="str">
            <v>+32 2 233 12 11</v>
          </cell>
          <cell r="E31" t="str">
            <v>+ 32 3 22 20 811 / +32 59 50 09 25</v>
          </cell>
          <cell r="F31" t="str">
            <v>+ 32 2 230 30 02 / +32 59 80 63 88 / +32 3 23 36 760 / +32 59 82 23 31</v>
          </cell>
          <cell r="G31" t="str">
            <v>61 880 VERTA B / 35028 MARPOL B / 82231 MARPOL B</v>
          </cell>
          <cell r="R31" t="str">
            <v>Port Authority Bruges-Zeebrugge ( MBZ NV )</v>
          </cell>
          <cell r="S31" t="str">
            <v>+32 50 543211</v>
          </cell>
          <cell r="U31" t="str">
            <v>+32 50 543224</v>
          </cell>
          <cell r="V31" t="str">
            <v>E-Mail : mbz@zeebruggeport.be.</v>
          </cell>
          <cell r="W31" t="str">
            <v>Marine Rescue Co-ordination Centre</v>
          </cell>
          <cell r="X31" t="str">
            <v>+32 59 701 000 / 100 / +32 59 55 28 11</v>
          </cell>
          <cell r="Z31" t="str">
            <v>+32 59 70 36 05</v>
          </cell>
          <cell r="AA31" t="str">
            <v>82125 LOODSW B</v>
          </cell>
          <cell r="AB31" t="str">
            <v>Zeebrugge Shipping and Bunkering Co N. V.</v>
          </cell>
          <cell r="AC31" t="str">
            <v>( 050 ) 54 24 32</v>
          </cell>
          <cell r="AD31" t="str">
            <v>(+32) 50 412567 Mr. Freddy Debbaut</v>
          </cell>
          <cell r="AE31" t="str">
            <v>(+32) 50 545281</v>
          </cell>
          <cell r="AF31" t="str">
            <v>(+46) 81138 ships b / E-Mail : agency@zsb.be</v>
          </cell>
          <cell r="AG31" t="str">
            <v>Caethoven NV</v>
          </cell>
          <cell r="AH31" t="str">
            <v>+32 3206 0050</v>
          </cell>
          <cell r="AI31" t="str">
            <v>Mob : (+32) 478 595 077 Nathalie Van Hoof</v>
          </cell>
          <cell r="AJ31" t="str">
            <v>+32 3206 0059</v>
          </cell>
          <cell r="AK31" t="str">
            <v xml:space="preserve">              E-Mail:mail@caethoven.be</v>
          </cell>
        </row>
        <row r="32">
          <cell r="A32">
            <v>30</v>
          </cell>
          <cell r="B32" t="str">
            <v>Ambes</v>
          </cell>
          <cell r="C32" t="str">
            <v>SURNAV FRANCE ( ETEL )</v>
          </cell>
          <cell r="D32" t="str">
            <v>+33 (0) 2 97 55 35 35</v>
          </cell>
          <cell r="F32" t="str">
            <v>+33 (0) 2 97 55 49 34</v>
          </cell>
          <cell r="G32" t="str">
            <v xml:space="preserve">+42 940527 MARBRST F / TELEGRAPH : MARINE BREST </v>
          </cell>
          <cell r="R32" t="str">
            <v>Port Authority de Bordeaux</v>
          </cell>
          <cell r="S32" t="str">
            <v>+33 5 56 90 58 00</v>
          </cell>
          <cell r="U32" t="str">
            <v>+33 5 56 90 58 77</v>
          </cell>
          <cell r="V32" t="str">
            <v>+42 570617 / E-Mail : postoffice@bordeaux-port.fr.</v>
          </cell>
          <cell r="W32" t="str">
            <v>Harbour Master</v>
          </cell>
          <cell r="X32" t="str">
            <v>Direct line: +33 5 56 90 59 31 Mr. Henry Follin</v>
          </cell>
          <cell r="AA32" t="str">
            <v>E-Mail: h-follin@bordeux-port.fr.</v>
          </cell>
          <cell r="AB32" t="str">
            <v>Balguerie Port Agency S.A.</v>
          </cell>
          <cell r="AC32" t="str">
            <v>+33 5 57 57 33 33 / Mob : +33 68064 45545</v>
          </cell>
          <cell r="AD32" t="str">
            <v>+33 680 64 5552 Mr. Franck Shuster</v>
          </cell>
          <cell r="AE32" t="str">
            <v xml:space="preserve">+33 5 57 57 33 24 </v>
          </cell>
          <cell r="AF32" t="str">
            <v>+42 42560031 / E-Mail : balport@balguerie.com</v>
          </cell>
          <cell r="AG32" t="str">
            <v>Boquen S.A.</v>
          </cell>
          <cell r="AH32" t="str">
            <v>+33 556 508 330</v>
          </cell>
          <cell r="AI32" t="str">
            <v>Mr. Henri Boquen +33 5 56 08 7723 / Mob : +33 611 111 160</v>
          </cell>
          <cell r="AJ32" t="str">
            <v>+33 556 390 480</v>
          </cell>
          <cell r="AK32" t="str">
            <v>+42 560050 BORDO / E-Mail : boquen@wanadoo.fr</v>
          </cell>
        </row>
        <row r="33">
          <cell r="A33">
            <v>31</v>
          </cell>
          <cell r="B33" t="str">
            <v>Kaarstoe</v>
          </cell>
          <cell r="C33" t="str">
            <v>National Joint Headquaters. Naval OperationsCenter, Stavanger, Norway</v>
          </cell>
          <cell r="D33" t="str">
            <v xml:space="preserve">+47 51 34 38 15 </v>
          </cell>
          <cell r="F33" t="str">
            <v>+47 51 34 38 19</v>
          </cell>
          <cell r="G33" t="str">
            <v>E-Mail : coss@neurope.nato.int.</v>
          </cell>
          <cell r="H33" t="str">
            <v>Search &amp; Rescue Coordination Center</v>
          </cell>
          <cell r="I33" t="str">
            <v>+47 51 51 70 00</v>
          </cell>
          <cell r="K33" t="str">
            <v>+47 51 65 23 34</v>
          </cell>
          <cell r="R33" t="str">
            <v>Statpipe Gas Terminal</v>
          </cell>
          <cell r="S33" t="str">
            <v>Contact Harbour Master +47 52 77 22 00</v>
          </cell>
          <cell r="U33" t="str">
            <v>+47 52 77 26 88</v>
          </cell>
          <cell r="V33" t="str">
            <v>(56) 40807 / E-Mail: arma@statoil.com</v>
          </cell>
          <cell r="AB33" t="str">
            <v>Ole R. Olsen AS</v>
          </cell>
          <cell r="AC33" t="str">
            <v>+47 5275 4600</v>
          </cell>
          <cell r="AD33" t="str">
            <v>Mr. Torodd Bergstoel +47 527 54600</v>
          </cell>
          <cell r="AE33" t="str">
            <v>+47 5275 4605</v>
          </cell>
          <cell r="AF33" t="str">
            <v>056 40789 OROK N / E-Mail : orok@oro.no / Em. Num.: Mob. +47 9422 3165</v>
          </cell>
          <cell r="AG33" t="str">
            <v>Martens Services A/S</v>
          </cell>
          <cell r="AH33" t="str">
            <v>+47 55 21 08 00</v>
          </cell>
          <cell r="AI33" t="str">
            <v>Mr. Ronny Devik +47 901 85 425</v>
          </cell>
          <cell r="AJ33" t="str">
            <v>+47 55 21 08 07 / 55 21 08 08</v>
          </cell>
          <cell r="AK33" t="str">
            <v>056 42054 / E-Mail : martens.services@martens.no</v>
          </cell>
        </row>
        <row r="34">
          <cell r="A34">
            <v>32</v>
          </cell>
          <cell r="B34" t="str">
            <v>Rotterdam</v>
          </cell>
          <cell r="C34" t="str">
            <v>Central Traffic Control, Rotterdam</v>
          </cell>
          <cell r="D34" t="str">
            <v>+31 10 252 2400 ( Traffic Department ) / +31 10 476 6766 ( Emergency ) /                                                              +31 10 252 2455 ( Dangerous Goods Department )</v>
          </cell>
          <cell r="F34" t="str">
            <v>+31 10 252 1400 (Traffic Department ) /                                                                               +31 10 252 1600 (Dangerous Goods Department )</v>
          </cell>
          <cell r="G34" t="str">
            <v>+4427370 ( DRHCC NL ) / +44 25720 ( Dangerous goods )</v>
          </cell>
          <cell r="R34" t="str">
            <v>Rotterdam Municipal Port Management ( RMPM )</v>
          </cell>
          <cell r="S34" t="str">
            <v>+31 10 252 1010</v>
          </cell>
          <cell r="U34" t="str">
            <v>+31 10 252 1020</v>
          </cell>
          <cell r="V34" t="str">
            <v>+44 23077 / E-Mail : info@port.rotterdam.nl.</v>
          </cell>
          <cell r="W34" t="str">
            <v>Capt. Lems, Harbour Master, Direct line</v>
          </cell>
          <cell r="X34" t="str">
            <v>+31 10 252 1572</v>
          </cell>
          <cell r="AB34" t="str">
            <v>LBH LIQUID NETHERLANDS B.V.</v>
          </cell>
          <cell r="AC34" t="str">
            <v>+31 10 506 5100</v>
          </cell>
          <cell r="AD34" t="str">
            <v>+31 10 506 5100</v>
          </cell>
          <cell r="AE34" t="str">
            <v>+31 10 506 5110</v>
          </cell>
          <cell r="AF34" t="str">
            <v>+44 62365 / E-Mail : info@lbhliquid.nl.</v>
          </cell>
          <cell r="AG34" t="str">
            <v>Dutch P &amp; I Services B.V.</v>
          </cell>
          <cell r="AH34" t="str">
            <v>+31 10 440 5555</v>
          </cell>
          <cell r="AI34" t="str">
            <v>Mob : +31 62 184 35 88 / Mr. K. Vlgersdijk : +31 186 616 802</v>
          </cell>
          <cell r="AJ34" t="str">
            <v>+31 10 440 5515 ( General &amp; Claims )</v>
          </cell>
          <cell r="AK34" t="str">
            <v>E-Mail : info@dupi.nl.</v>
          </cell>
        </row>
        <row r="35">
          <cell r="A35">
            <v>33</v>
          </cell>
          <cell r="B35" t="str">
            <v>Gijon</v>
          </cell>
          <cell r="C35" t="str">
            <v>MRCC Madrid ( for distress, urgency &amp; safety traffic only )</v>
          </cell>
          <cell r="D35" t="str">
            <v>+34 915 755 9132</v>
          </cell>
          <cell r="F35" t="str">
            <v>+34 915 261 440</v>
          </cell>
          <cell r="G35" t="str">
            <v>+52 41210 / 41220 / Inmarsat-C: 422404710</v>
          </cell>
          <cell r="H35" t="str">
            <v>Capitania Maritima Mr. I F Fidalgo</v>
          </cell>
          <cell r="I35" t="str">
            <v>+34 985 300085</v>
          </cell>
          <cell r="K35" t="str">
            <v>+34 985 320908</v>
          </cell>
          <cell r="R35" t="str">
            <v>Autoridad Portuania de Gijon, Mr. Jose Diaz Rado, Director</v>
          </cell>
          <cell r="S35" t="str">
            <v>+34 985 179600</v>
          </cell>
          <cell r="U35" t="str">
            <v>+34 985 359 917</v>
          </cell>
          <cell r="V35" t="str">
            <v>+52 87369 / Web site: http://www.portel.es/puertos.htm</v>
          </cell>
          <cell r="AB35" t="str">
            <v>Paquet</v>
          </cell>
          <cell r="AC35" t="str">
            <v>+34 98 517 6100</v>
          </cell>
          <cell r="AD35" t="str">
            <v>Mr. Gerardo Paredes +34 98 536 98 76 / Mob:  +34 606 321 655</v>
          </cell>
          <cell r="AE35" t="str">
            <v xml:space="preserve">+34 98 534 5870 </v>
          </cell>
          <cell r="AF35" t="str">
            <v>+52 87372 / 87399  E-Mail: gijon@paquet.com</v>
          </cell>
          <cell r="AG35" t="str">
            <v>Agemcia Maritima Artiach Zuazaga S.L.</v>
          </cell>
          <cell r="AH35" t="str">
            <v>+34 944 236661 / 944 239073</v>
          </cell>
          <cell r="AI35" t="str">
            <v>Mr. Sebastian Sainz +34 944 158 969 / Mob: +34 609 425 566</v>
          </cell>
          <cell r="AJ35" t="str">
            <v>+34 944 23 7973</v>
          </cell>
          <cell r="AK35" t="str">
            <v>+52 32525 AMAZ E</v>
          </cell>
        </row>
        <row r="36">
          <cell r="A36">
            <v>34</v>
          </cell>
          <cell r="B36" t="str">
            <v>Stenungsund</v>
          </cell>
          <cell r="C36" t="str">
            <v>MRCC Goteborg. Sweden Coast Guard through Coast Station</v>
          </cell>
          <cell r="D36" t="str">
            <v>+46 (0)31 699080 ( Emergency )</v>
          </cell>
          <cell r="F36" t="str">
            <v>+46 (0)31 648010 / 775 3927 ( Office hours )</v>
          </cell>
          <cell r="G36" t="str">
            <v>+54 20180 MRCCGBG S/E-Mail:mrccgbg@sjofartsverket.se/Inm-C : 426590010</v>
          </cell>
          <cell r="R36" t="str">
            <v>Vattenfal Generation Services A.B.</v>
          </cell>
          <cell r="S36" t="str">
            <v>+46 303 66141 Mr. O. Kristoffersen</v>
          </cell>
          <cell r="U36" t="str">
            <v>+46 303 66161</v>
          </cell>
          <cell r="AB36" t="str">
            <v>Ferm &amp; Olsson Stenengsund A.B.</v>
          </cell>
          <cell r="AC36" t="str">
            <v>+46 303 83025 ( 24 H ) / Mob : +46 706 666670 / 406688</v>
          </cell>
          <cell r="AD36" t="str">
            <v>+46 304 667812 Mr. Staffan Linden</v>
          </cell>
          <cell r="AE36" t="str">
            <v>+46 303 770134</v>
          </cell>
          <cell r="AF36" t="str">
            <v>+54 2449 / E-Mail : stenungsund@fermolsson.se</v>
          </cell>
          <cell r="AG36" t="str">
            <v>Setterwalls ( Lawyers )</v>
          </cell>
          <cell r="AH36" t="str">
            <v>+46 8 598 89000 / 89087 ( 24 H )</v>
          </cell>
          <cell r="AI36" t="str">
            <v>+46 8 708 8807 / Mob : +46 705 949617 Mr. Jorgen Almelov</v>
          </cell>
          <cell r="AJ36" t="str">
            <v>+46 8 598 89090</v>
          </cell>
          <cell r="AK36" t="str">
            <v>E-Mail : sthlm@setterwalls.se</v>
          </cell>
        </row>
        <row r="37">
          <cell r="A37">
            <v>35</v>
          </cell>
          <cell r="B37" t="str">
            <v>Flushing</v>
          </cell>
          <cell r="D37" t="str">
            <v>+32 2 233 12 11</v>
          </cell>
          <cell r="E37" t="str">
            <v>+ 32 3 22 20 811 / +32 59 50 09 25</v>
          </cell>
          <cell r="F37" t="str">
            <v>+ 32 2 230 30 02 / +32 59 80 63 88 / +32 3 23 36 760 / +32 59 82 23 31</v>
          </cell>
          <cell r="G37" t="str">
            <v>61 880 VERTA B / 35028 MARPOL B / 82231 MARPOL B</v>
          </cell>
          <cell r="R37" t="str">
            <v>Zeeland Seaport</v>
          </cell>
          <cell r="S37" t="str">
            <v>+31 115 647 400 Contact: Harbour Master Capt. E. A. Van der Berg</v>
          </cell>
          <cell r="U37" t="str">
            <v>+31 115 647 510</v>
          </cell>
          <cell r="V37" t="str">
            <v>E-Mail : port@zeelandseaports.com</v>
          </cell>
          <cell r="W37" t="str">
            <v>Civilian Authorities: Gemeete Vlissingen</v>
          </cell>
          <cell r="X37" t="str">
            <v>+31 118 487 000</v>
          </cell>
          <cell r="Z37" t="str">
            <v>+31 118 410 218</v>
          </cell>
          <cell r="AB37" t="str">
            <v>Ovet Shiiping B.V.</v>
          </cell>
          <cell r="AC37" t="str">
            <v>+31 115 676 700 / Mob: +31 622 370 371 ( Duty nbr )</v>
          </cell>
          <cell r="AD37" t="str">
            <v xml:space="preserve">Mr. Ronald Verseput  +31  115 614 260 </v>
          </cell>
          <cell r="AE37" t="str">
            <v>+31 115 617 544</v>
          </cell>
          <cell r="AF37" t="str">
            <v>+44 55080 ovetv nl / E-Mail: ovetship@ovet.nl</v>
          </cell>
          <cell r="AG37" t="str">
            <v>Dutch P &amp; I Services B.V.</v>
          </cell>
          <cell r="AH37" t="str">
            <v>+31 10 440 5555</v>
          </cell>
          <cell r="AI37" t="str">
            <v>Mob : +31 62 184 35 88 / Mr. K. Vlgersdijk : +31 186 616 802</v>
          </cell>
          <cell r="AJ37" t="str">
            <v>+31 10 440 5515 ( General &amp; Claims )</v>
          </cell>
          <cell r="AK37" t="str">
            <v>E-Mail : info@dupi.nl.</v>
          </cell>
        </row>
        <row r="38">
          <cell r="A38">
            <v>36</v>
          </cell>
          <cell r="B38" t="str">
            <v>Terneuzen</v>
          </cell>
          <cell r="C38" t="str">
            <v>Centrale Terneuzen</v>
          </cell>
          <cell r="D38" t="str">
            <v xml:space="preserve"> +31 0115 682401</v>
          </cell>
          <cell r="F38" t="str">
            <v xml:space="preserve"> +1 0115 630699</v>
          </cell>
          <cell r="R38" t="str">
            <v>Zeeland Seaport</v>
          </cell>
          <cell r="S38" t="str">
            <v xml:space="preserve"> +31 115 647400</v>
          </cell>
          <cell r="U38" t="str">
            <v xml:space="preserve"> +31 115 647500</v>
          </cell>
          <cell r="V38" t="str">
            <v>E - mail : port@zeeland-seaports.com</v>
          </cell>
          <cell r="W38" t="str">
            <v>Civilian Authorities: Gemeete Terneuzen</v>
          </cell>
          <cell r="X38" t="str">
            <v xml:space="preserve"> +31 115642000</v>
          </cell>
          <cell r="Z38" t="str">
            <v xml:space="preserve"> +31 115 618429</v>
          </cell>
          <cell r="AB38" t="str">
            <v>Ovet Shiiping B.V.</v>
          </cell>
          <cell r="AC38" t="str">
            <v xml:space="preserve"> +31 115 676700</v>
          </cell>
          <cell r="AD38" t="str">
            <v>Ronald Verseput +31 115 614260</v>
          </cell>
          <cell r="AE38" t="str">
            <v xml:space="preserve"> +31 115 61 617544</v>
          </cell>
          <cell r="AF38" t="str">
            <v>044 55080 ovet nl  E - mail : ovetship@ovet.nl</v>
          </cell>
          <cell r="AG38" t="str">
            <v>Dutch P &amp; I Services B.V.</v>
          </cell>
          <cell r="AH38" t="str">
            <v xml:space="preserve"> +31 10 440 5555</v>
          </cell>
          <cell r="AI38" t="str">
            <v xml:space="preserve"> +31  62 184 3588</v>
          </cell>
          <cell r="AJ38" t="str">
            <v xml:space="preserve"> +31 10 440 5515</v>
          </cell>
          <cell r="AK38" t="str">
            <v>E - mail : info@dupi.nl</v>
          </cell>
        </row>
        <row r="39">
          <cell r="A39">
            <v>37</v>
          </cell>
          <cell r="B39" t="str">
            <v>Hamina</v>
          </cell>
          <cell r="C39" t="str">
            <v>Turku MRCC (call: Turku Radio)</v>
          </cell>
          <cell r="D39" t="str">
            <v xml:space="preserve"> +358 02 041000</v>
          </cell>
          <cell r="F39" t="str">
            <v xml:space="preserve"> +358 02 2500950</v>
          </cell>
          <cell r="G39" t="str">
            <v xml:space="preserve"> +57 62107 OFK FI  E-mail: mrcc@smmv.rvl.fi</v>
          </cell>
          <cell r="R39" t="str">
            <v xml:space="preserve">Port othority of Hamina </v>
          </cell>
          <cell r="S39" t="str">
            <v xml:space="preserve"> +358 5 749 5400</v>
          </cell>
          <cell r="U39" t="str">
            <v xml:space="preserve"> +358 5 749 5419</v>
          </cell>
          <cell r="W39" t="str">
            <v>Civilian Authority : Kotkan Karajaoikeuden Hamina Sivukansila</v>
          </cell>
          <cell r="X39" t="str">
            <v xml:space="preserve"> +358 5 344 6825</v>
          </cell>
          <cell r="Z39" t="str">
            <v xml:space="preserve"> +358 5 344 6825</v>
          </cell>
          <cell r="AB39" t="str">
            <v>John Nurminen Oy</v>
          </cell>
          <cell r="AC39" t="str">
            <v xml:space="preserve"> +358 10 5455940</v>
          </cell>
          <cell r="AD39" t="str">
            <v>Jonny Ulmanen   +358 40 5758628</v>
          </cell>
          <cell r="AE39" t="str">
            <v xml:space="preserve"> +358 10 5455939</v>
          </cell>
          <cell r="AF39" t="str">
            <v xml:space="preserve"> +057 53115 ships fi ; E-mail : kotka.agency@johnnurminen.com ;                                  mob : +358 5 2109360</v>
          </cell>
          <cell r="AG39" t="str">
            <v>Pohjola Non-Life Insurance Company Ltd.</v>
          </cell>
          <cell r="AH39" t="str">
            <v xml:space="preserve"> +358 10 559 11</v>
          </cell>
          <cell r="AI39" t="str">
            <v>Jan Frosten  tel: +358 10 559 4334</v>
          </cell>
          <cell r="AJ39" t="str">
            <v xml:space="preserve"> +358 10 559 2420</v>
          </cell>
        </row>
        <row r="40">
          <cell r="A40">
            <v>38</v>
          </cell>
          <cell r="B40" t="str">
            <v>Huelva</v>
          </cell>
          <cell r="C40" t="str">
            <v>Emergency Co-ordination Centre : HUELVA TRAFFIC</v>
          </cell>
          <cell r="D40" t="str">
            <v xml:space="preserve"> +34 959 234000</v>
          </cell>
          <cell r="R40" t="str">
            <v>Port othority of Huelva : Atoridat Potuaria de Huelva</v>
          </cell>
          <cell r="S40" t="str">
            <v xml:space="preserve"> +34 959  213100</v>
          </cell>
          <cell r="T40" t="str">
            <v>Port Manager :Mr E Perez Gomes</v>
          </cell>
          <cell r="U40" t="str">
            <v xml:space="preserve"> +34 959 213 101</v>
          </cell>
          <cell r="V40" t="str">
            <v>75594   E-mail : aph@puertohuelva.com</v>
          </cell>
          <cell r="W40" t="str">
            <v>Port Operator : Compania Espanola de Petroleos  SA</v>
          </cell>
          <cell r="X40" t="str">
            <v xml:space="preserve"> +34 959 379 412</v>
          </cell>
          <cell r="Z40" t="str">
            <v xml:space="preserve"> +34 959 379 421</v>
          </cell>
          <cell r="AB40" t="str">
            <v>Ership S.A.</v>
          </cell>
          <cell r="AC40" t="str">
            <v xml:space="preserve"> +34 95 92 15 100</v>
          </cell>
          <cell r="AD40" t="str">
            <v>Mr. Jorge Terenez  +34  95 93 19 039</v>
          </cell>
          <cell r="AE40" t="str">
            <v xml:space="preserve"> +34 95 92 151 23 / 26 10 05</v>
          </cell>
          <cell r="AF40" t="str">
            <v xml:space="preserve"> +052 755 34 / 755 36 E-mail: A33EE108@GNCOMTEXT.COM</v>
          </cell>
          <cell r="AG40" t="str">
            <v>Naviera Gatitana S.A. (Nagasa)</v>
          </cell>
          <cell r="AH40" t="str">
            <v xml:space="preserve"> +34 956 201 355</v>
          </cell>
          <cell r="AI40" t="str">
            <v>Mayte Rueda  +34 661 3533 015</v>
          </cell>
          <cell r="AJ40" t="str">
            <v xml:space="preserve"> +34 956 201 356    </v>
          </cell>
          <cell r="AK40" t="str">
            <v>E-mail ; nagasa@wanadoo.es</v>
          </cell>
        </row>
        <row r="41">
          <cell r="A41">
            <v>39</v>
          </cell>
          <cell r="B41" t="str">
            <v>Sines</v>
          </cell>
          <cell r="R41" t="str">
            <v>Port othority of  Sines : Administracao do Porto de Sines</v>
          </cell>
          <cell r="S41" t="str">
            <v xml:space="preserve"> +351 26 986 6066</v>
          </cell>
          <cell r="T41" t="str">
            <v>President of board of directors Mr. Monteiro Morais - Direct Line +351 26 986 06 18</v>
          </cell>
          <cell r="U41" t="str">
            <v xml:space="preserve"> +351 26 986 0690</v>
          </cell>
          <cell r="V41" t="str">
            <v>12027 SINMAR P   E-mail: geral@portodesines.pt</v>
          </cell>
          <cell r="AB41" t="str">
            <v>Pinto Basto IV Servicios Maritimos Lda.</v>
          </cell>
          <cell r="AC41" t="str">
            <v xml:space="preserve"> +351 269 862 598 / 600</v>
          </cell>
          <cell r="AD41" t="str">
            <v>David Pires  +351 917 578 325</v>
          </cell>
          <cell r="AE41" t="str">
            <v xml:space="preserve"> +351 269 862 587</v>
          </cell>
          <cell r="AF41" t="str">
            <v xml:space="preserve"> +404 60714 AGTSIN P</v>
          </cell>
          <cell r="AG41" t="str">
            <v>Pinto Basto Comercial Lda.</v>
          </cell>
          <cell r="AH41" t="str">
            <v xml:space="preserve"> +351 21 323 0400</v>
          </cell>
          <cell r="AI41" t="str">
            <v>Alexandre Pinto Basto mob: +351 91 937 0543</v>
          </cell>
          <cell r="AJ41" t="str">
            <v xml:space="preserve"> +351 21 347 1231</v>
          </cell>
        </row>
        <row r="42">
          <cell r="A42">
            <v>40</v>
          </cell>
          <cell r="B42" t="str">
            <v>Rafnes</v>
          </cell>
          <cell r="C42" t="str">
            <v>JRCC STAVANGER</v>
          </cell>
          <cell r="D42" t="str">
            <v xml:space="preserve"> +47 51517000</v>
          </cell>
          <cell r="F42" t="str">
            <v xml:space="preserve"> +47 51652334</v>
          </cell>
          <cell r="G42" t="str">
            <v>E-mail:  post@jrcc-stavanger.no</v>
          </cell>
          <cell r="R42" t="str">
            <v>Port othority of  Rafnes, subport of Grenland Harbour : Grenland Havnevesen</v>
          </cell>
          <cell r="S42" t="str">
            <v xml:space="preserve"> +47 35 93 10 00</v>
          </cell>
          <cell r="U42" t="str">
            <v xml:space="preserve"> +47 35 93 10 05</v>
          </cell>
          <cell r="V42" t="str">
            <v>email:  grenhaven@online.no</v>
          </cell>
          <cell r="AB42" t="str">
            <v>Wilhelmsen Agencies</v>
          </cell>
          <cell r="AC42" t="str">
            <v xml:space="preserve"> +47-35573730</v>
          </cell>
          <cell r="AD42" t="str">
            <v>Dan Sverkmo  ++47-35 911616</v>
          </cell>
          <cell r="AE42" t="str">
            <v xml:space="preserve"> +47-3553655</v>
          </cell>
          <cell r="AF42" t="str">
            <v xml:space="preserve"> 056-21368hydro N</v>
          </cell>
          <cell r="AG42" t="str">
            <v>BERGEN - Martens Services A/S</v>
          </cell>
          <cell r="AH42" t="str">
            <v xml:space="preserve"> +47 55 21 08 00</v>
          </cell>
          <cell r="AI42" t="str">
            <v>Ronny Devik  +47 901 85 425</v>
          </cell>
          <cell r="AJ42" t="str">
            <v xml:space="preserve"> +55 21 08 07</v>
          </cell>
          <cell r="AK42" t="str">
            <v>056 42054   E-mail:marten</v>
          </cell>
        </row>
        <row r="43">
          <cell r="A43">
            <v>41</v>
          </cell>
          <cell r="B43" t="str">
            <v>Moerdijk</v>
          </cell>
          <cell r="AB43" t="str">
            <v>LBH Liquid Netherlads</v>
          </cell>
          <cell r="AC43" t="str">
            <v xml:space="preserve"> +31 (-10)-5065100</v>
          </cell>
          <cell r="AD43" t="str">
            <v>Wilem Langstraat, Tel: +31-6-52062274</v>
          </cell>
          <cell r="AE43" t="str">
            <v xml:space="preserve"> +31 (-10)-5065110</v>
          </cell>
          <cell r="AF43" t="str">
            <v>E-Mail:  info@lbhliquid.nl</v>
          </cell>
        </row>
        <row r="44">
          <cell r="A44">
            <v>42</v>
          </cell>
          <cell r="B44" t="str">
            <v>Wilhelmshaven</v>
          </cell>
          <cell r="C44" t="str">
            <v>MRCC Bremen</v>
          </cell>
          <cell r="D44" t="str">
            <v xml:space="preserve"> +49 421 536870</v>
          </cell>
          <cell r="F44" t="str">
            <v xml:space="preserve"> +49 421 5368714</v>
          </cell>
          <cell r="G44" t="str">
            <v xml:space="preserve"> +41 246 466 MRCC D</v>
          </cell>
          <cell r="R44" t="str">
            <v>Port othorities: Niedersachsisches Hafenamt Wilhelmshaven</v>
          </cell>
          <cell r="S44" t="str">
            <v>+49 4421 48000</v>
          </cell>
          <cell r="U44" t="str">
            <v>+49 4421 480099</v>
          </cell>
          <cell r="V44" t="str">
            <v>E-Mail :postelle@nha.land-ni.dbp.de</v>
          </cell>
          <cell r="W44" t="str">
            <v>Civilian Authority: Bundesamt fur Seeschiffahrt-und Hydrographie</v>
          </cell>
          <cell r="X44" t="str">
            <v>+49 4421 41447</v>
          </cell>
          <cell r="Z44" t="str">
            <v>+49 40 3190 5150</v>
          </cell>
          <cell r="AB44" t="str">
            <v>Sartori &amp; Berger</v>
          </cell>
          <cell r="AC44" t="str">
            <v xml:space="preserve"> +49 4421 93100</v>
          </cell>
          <cell r="AD44" t="str">
            <v>J. Bartels  tel: +49 171 646 2188</v>
          </cell>
          <cell r="AE44" t="str">
            <v xml:space="preserve"> +49 4421 931040</v>
          </cell>
          <cell r="AF44" t="str">
            <v>2 53 322   E-mail: wilhelmshaven@sartori-berger.de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57</v>
          </cell>
        </row>
        <row r="54">
          <cell r="A54">
            <v>58</v>
          </cell>
        </row>
        <row r="55">
          <cell r="A55">
            <v>59</v>
          </cell>
        </row>
        <row r="56">
          <cell r="A56">
            <v>60</v>
          </cell>
        </row>
        <row r="57">
          <cell r="A57">
            <v>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加拿大"/>
      <sheetName val="以色列"/>
      <sheetName val="新加坡"/>
      <sheetName val="日本"/>
      <sheetName val="巴拿马"/>
      <sheetName val="香港海员证"/>
      <sheetName val="香港CMBK"/>
      <sheetName val="香港护照"/>
      <sheetName val="香港PPT"/>
      <sheetName val="IMO CMan Bk"/>
      <sheetName val="IMO 海员证"/>
      <sheetName val="IMO Pass"/>
      <sheetName val="IMO 护照"/>
      <sheetName val="中文名单"/>
      <sheetName val="字母顺序"/>
      <sheetName val="I-418"/>
      <sheetName val="USCG"/>
      <sheetName val="Particular"/>
      <sheetName val="FINAL"/>
      <sheetName val="签证单"/>
      <sheetName val="个人信息"/>
      <sheetName val="每港更新"/>
      <sheetName val="船舶资料"/>
      <sheetName val="证书"/>
      <sheetName val="POC"/>
      <sheetName val="Health"/>
      <sheetName val="Nil"/>
      <sheetName val="Bond"/>
      <sheetName val="Vacc"/>
      <sheetName val="Belonging"/>
      <sheetName val="Security"/>
      <sheetName val="Vacc2"/>
      <sheetName val="Narcotics"/>
      <sheetName val="有效期汇总"/>
      <sheetName val="个人证书一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3">
          <cell r="E3" t="str">
            <v>ZHAO</v>
          </cell>
        </row>
        <row r="5">
          <cell r="E5" t="str">
            <v>WANG</v>
          </cell>
        </row>
        <row r="7">
          <cell r="E7" t="str">
            <v>FU</v>
          </cell>
        </row>
        <row r="8">
          <cell r="E8" t="str">
            <v>YUE</v>
          </cell>
        </row>
        <row r="9">
          <cell r="E9" t="str">
            <v>XU</v>
          </cell>
        </row>
        <row r="11">
          <cell r="E11" t="str">
            <v>HUANG</v>
          </cell>
        </row>
        <row r="13">
          <cell r="E13" t="str">
            <v>XING</v>
          </cell>
        </row>
        <row r="15">
          <cell r="E15" t="str">
            <v>CHEN</v>
          </cell>
        </row>
        <row r="17">
          <cell r="E17" t="str">
            <v>LU</v>
          </cell>
        </row>
        <row r="19">
          <cell r="E19" t="str">
            <v>SHAO</v>
          </cell>
        </row>
        <row r="20">
          <cell r="E20" t="str">
            <v>LI</v>
          </cell>
        </row>
        <row r="22">
          <cell r="E22" t="str">
            <v>YANG</v>
          </cell>
        </row>
        <row r="23">
          <cell r="E23" t="str">
            <v>JIA</v>
          </cell>
        </row>
        <row r="25">
          <cell r="E25" t="str">
            <v>LU</v>
          </cell>
        </row>
        <row r="27">
          <cell r="E27" t="str">
            <v>ZHOU</v>
          </cell>
        </row>
        <row r="28">
          <cell r="E28" t="str">
            <v>LI</v>
          </cell>
        </row>
        <row r="29">
          <cell r="E29" t="str">
            <v>YAN</v>
          </cell>
        </row>
        <row r="30">
          <cell r="E30" t="str">
            <v>TAO</v>
          </cell>
        </row>
        <row r="31">
          <cell r="E31" t="str">
            <v>LIU</v>
          </cell>
        </row>
        <row r="33">
          <cell r="E33" t="str">
            <v>GONG</v>
          </cell>
        </row>
        <row r="35">
          <cell r="E35" t="str">
            <v>LU</v>
          </cell>
        </row>
        <row r="37">
          <cell r="E37" t="str">
            <v>SHEN</v>
          </cell>
        </row>
        <row r="38">
          <cell r="E38" t="str">
            <v>HOU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A1">
            <v>1</v>
          </cell>
          <cell r="B1" t="str">
            <v>EAGLE EXPRESS</v>
          </cell>
          <cell r="C1" t="str">
            <v>05</v>
          </cell>
        </row>
        <row r="2">
          <cell r="A2">
            <v>2</v>
          </cell>
          <cell r="B2" t="str">
            <v>CMA CGM KALAMATA</v>
          </cell>
          <cell r="C2" t="str">
            <v>18</v>
          </cell>
        </row>
        <row r="3">
          <cell r="A3">
            <v>3</v>
          </cell>
          <cell r="B3" t="str">
            <v>CMA CGM ELBE</v>
          </cell>
          <cell r="C3" t="str">
            <v>19</v>
          </cell>
        </row>
        <row r="4">
          <cell r="A4">
            <v>4</v>
          </cell>
          <cell r="B4" t="str">
            <v>CMA CGM KOMODO</v>
          </cell>
          <cell r="C4" t="str">
            <v>20</v>
          </cell>
        </row>
        <row r="5">
          <cell r="A5">
            <v>5</v>
          </cell>
          <cell r="B5" t="str">
            <v>HENRY</v>
          </cell>
          <cell r="C5" t="str">
            <v>21</v>
          </cell>
        </row>
        <row r="6">
          <cell r="A6">
            <v>6</v>
          </cell>
          <cell r="B6" t="str">
            <v>INDEPENDENCE</v>
          </cell>
          <cell r="C6" t="str">
            <v>39</v>
          </cell>
        </row>
        <row r="7">
          <cell r="A7">
            <v>7</v>
          </cell>
          <cell r="B7" t="str">
            <v>VICTORY I</v>
          </cell>
          <cell r="C7" t="str">
            <v>40</v>
          </cell>
        </row>
        <row r="8">
          <cell r="A8">
            <v>8</v>
          </cell>
          <cell r="B8" t="str">
            <v>PACIFIC BRIDGE</v>
          </cell>
          <cell r="C8" t="str">
            <v>07</v>
          </cell>
        </row>
        <row r="9">
          <cell r="A9">
            <v>9</v>
          </cell>
          <cell r="B9" t="str">
            <v>YM YANTIAN</v>
          </cell>
          <cell r="C9" t="str">
            <v>12</v>
          </cell>
        </row>
        <row r="10">
          <cell r="A10">
            <v>10</v>
          </cell>
          <cell r="B10" t="str">
            <v>NORASIA HAMBURG</v>
          </cell>
          <cell r="C10" t="str">
            <v>13</v>
          </cell>
        </row>
        <row r="11">
          <cell r="A11">
            <v>11</v>
          </cell>
          <cell r="B11" t="str">
            <v>APL ENGLAND</v>
          </cell>
          <cell r="C11" t="str">
            <v>23</v>
          </cell>
        </row>
        <row r="12">
          <cell r="A12">
            <v>12</v>
          </cell>
          <cell r="B12" t="str">
            <v>APL SCOTLAND</v>
          </cell>
          <cell r="C12" t="str">
            <v>24</v>
          </cell>
        </row>
        <row r="13">
          <cell r="A13">
            <v>13</v>
          </cell>
          <cell r="B13" t="str">
            <v>APL HOLLAND</v>
          </cell>
          <cell r="C13" t="str">
            <v>25</v>
          </cell>
        </row>
        <row r="14">
          <cell r="A14">
            <v>14</v>
          </cell>
          <cell r="B14" t="str">
            <v>APL BELGIUM</v>
          </cell>
          <cell r="C14" t="str">
            <v>26</v>
          </cell>
        </row>
        <row r="15">
          <cell r="A15">
            <v>15</v>
          </cell>
          <cell r="B15" t="str">
            <v>CSCL AMERICA</v>
          </cell>
          <cell r="C15" t="str">
            <v>41</v>
          </cell>
        </row>
        <row r="16">
          <cell r="A16">
            <v>16</v>
          </cell>
          <cell r="B16" t="str">
            <v>CSCL EUROPE</v>
          </cell>
          <cell r="C16" t="str">
            <v>42</v>
          </cell>
        </row>
        <row r="17">
          <cell r="A17">
            <v>17</v>
          </cell>
          <cell r="B17" t="str">
            <v>YM MILANO</v>
          </cell>
          <cell r="C17" t="str">
            <v>17</v>
          </cell>
        </row>
        <row r="18">
          <cell r="A18">
            <v>18</v>
          </cell>
          <cell r="B18" t="str">
            <v>DIMITRIS C</v>
          </cell>
          <cell r="C18" t="str">
            <v>30</v>
          </cell>
        </row>
        <row r="19">
          <cell r="A19">
            <v>19</v>
          </cell>
          <cell r="B19" t="str">
            <v>ROBERTO C</v>
          </cell>
          <cell r="C19" t="str">
            <v>31</v>
          </cell>
        </row>
        <row r="20">
          <cell r="A20">
            <v>20</v>
          </cell>
          <cell r="B20" t="str">
            <v>MARIA C</v>
          </cell>
          <cell r="C20" t="str">
            <v>32</v>
          </cell>
        </row>
        <row r="21">
          <cell r="A21">
            <v>21</v>
          </cell>
          <cell r="B21" t="str">
            <v>ALEXANDRA I</v>
          </cell>
          <cell r="C21" t="str">
            <v>33</v>
          </cell>
        </row>
        <row r="22">
          <cell r="A22">
            <v>22</v>
          </cell>
          <cell r="B22" t="str">
            <v>ACHILLEAS</v>
          </cell>
          <cell r="C22" t="str">
            <v>37</v>
          </cell>
        </row>
        <row r="23">
          <cell r="A23">
            <v>23</v>
          </cell>
          <cell r="B23" t="str">
            <v>FIVOS</v>
          </cell>
          <cell r="C23" t="str">
            <v>38</v>
          </cell>
        </row>
        <row r="24">
          <cell r="A24">
            <v>24</v>
          </cell>
          <cell r="B24" t="str">
            <v>VANCOUVER EXPRESS</v>
          </cell>
          <cell r="C24" t="str">
            <v>34</v>
          </cell>
        </row>
        <row r="25">
          <cell r="A25">
            <v>25</v>
          </cell>
          <cell r="B25" t="str">
            <v>MAERSK DERBY</v>
          </cell>
          <cell r="C25" t="str">
            <v>35</v>
          </cell>
        </row>
        <row r="26">
          <cell r="A26">
            <v>26</v>
          </cell>
          <cell r="B26" t="str">
            <v>HYUNDAI COMMODORE</v>
          </cell>
          <cell r="C26" t="str">
            <v>43</v>
          </cell>
        </row>
        <row r="27">
          <cell r="A27">
            <v>27</v>
          </cell>
          <cell r="B27" t="str">
            <v>HYUNDAI DUKE</v>
          </cell>
          <cell r="C27" t="str">
            <v>44</v>
          </cell>
        </row>
        <row r="28">
          <cell r="A28">
            <v>28</v>
          </cell>
          <cell r="B28" t="str">
            <v>MOL CONFIDENCE</v>
          </cell>
          <cell r="C28" t="str">
            <v>56</v>
          </cell>
        </row>
        <row r="29">
          <cell r="A29">
            <v>29</v>
          </cell>
          <cell r="B29" t="str">
            <v>CSCL PUSAN</v>
          </cell>
          <cell r="C29" t="str">
            <v>50</v>
          </cell>
        </row>
        <row r="30">
          <cell r="A30">
            <v>30</v>
          </cell>
          <cell r="B30" t="str">
            <v>CSCL LE HAVRE</v>
          </cell>
          <cell r="C30" t="str">
            <v>51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7"/>
  </sheetPr>
  <dimension ref="A1:AB49"/>
  <sheetViews>
    <sheetView showGridLines="0" showZeros="0" zoomScale="115" zoomScaleNormal="115" zoomScaleSheetLayoutView="83" zoomScalePageLayoutView="55" workbookViewId="0">
      <selection activeCell="L14" sqref="L14:O14"/>
    </sheetView>
  </sheetViews>
  <sheetFormatPr defaultColWidth="9.140625" defaultRowHeight="12.75"/>
  <cols>
    <col min="1" max="1" width="10.140625" style="128" customWidth="1"/>
    <col min="2" max="2" width="10.28515625" style="128" customWidth="1"/>
    <col min="3" max="3" width="1.28515625" style="128" customWidth="1"/>
    <col min="4" max="4" width="7" style="128" customWidth="1"/>
    <col min="5" max="5" width="7.42578125" style="128" customWidth="1"/>
    <col min="6" max="6" width="6.85546875" style="128" customWidth="1"/>
    <col min="7" max="7" width="9.85546875" style="128" customWidth="1"/>
    <col min="8" max="8" width="23.140625" style="128" customWidth="1"/>
    <col min="9" max="9" width="2.5703125" style="128" customWidth="1"/>
    <col min="10" max="10" width="12.7109375" style="128" customWidth="1"/>
    <col min="11" max="11" width="6.140625" style="128" customWidth="1"/>
    <col min="12" max="12" width="1.7109375" style="128" customWidth="1"/>
    <col min="13" max="13" width="4.28515625" style="128" customWidth="1"/>
    <col min="14" max="14" width="1.140625" style="128" customWidth="1"/>
    <col min="15" max="15" width="34.42578125" style="128" customWidth="1"/>
    <col min="16" max="16" width="1.42578125" style="128" customWidth="1"/>
    <col min="17" max="17" width="2.5703125" style="128" customWidth="1"/>
    <col min="18" max="18" width="23.42578125" style="128" bestFit="1" customWidth="1"/>
    <col min="19" max="19" width="4" style="128" customWidth="1"/>
    <col min="20" max="20" width="11.85546875" style="128" bestFit="1" customWidth="1"/>
    <col min="21" max="21" width="26.28515625" style="128" customWidth="1"/>
    <col min="22" max="22" width="5" style="128" customWidth="1"/>
    <col min="23" max="27" width="9.140625" style="128"/>
    <col min="28" max="28" width="9.140625" style="206"/>
    <col min="29" max="16384" width="9.140625" style="128"/>
  </cols>
  <sheetData>
    <row r="1" spans="1:28" s="126" customFormat="1" ht="47.25" customHeight="1">
      <c r="A1" s="131">
        <v>0</v>
      </c>
      <c r="B1" s="189" t="s">
        <v>125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203"/>
    </row>
    <row r="2" spans="1:28" s="126" customFormat="1" ht="20.25" customHeight="1" thickBot="1">
      <c r="A2" s="131"/>
      <c r="B2" s="190" t="s">
        <v>141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203"/>
    </row>
    <row r="3" spans="1:28" s="81" customFormat="1" ht="20.25" customHeight="1" thickBot="1">
      <c r="A3" s="132"/>
      <c r="B3" s="1029" t="s">
        <v>142</v>
      </c>
      <c r="C3" s="1029"/>
      <c r="D3" s="1030"/>
      <c r="E3" s="1037" t="s">
        <v>478</v>
      </c>
      <c r="F3" s="1037"/>
      <c r="G3" s="1037"/>
      <c r="H3" s="1037"/>
      <c r="I3" s="132"/>
      <c r="J3" s="1028" t="s">
        <v>163</v>
      </c>
      <c r="K3" s="1028"/>
      <c r="L3" s="1035">
        <v>9948695</v>
      </c>
      <c r="M3" s="1036"/>
      <c r="N3" s="1036"/>
      <c r="O3" s="1036"/>
      <c r="P3" s="134"/>
      <c r="Q3" s="135"/>
      <c r="R3" s="175" t="s">
        <v>131</v>
      </c>
      <c r="S3" s="1033">
        <v>111089</v>
      </c>
      <c r="T3" s="1034"/>
      <c r="U3" s="1034"/>
      <c r="V3" s="132"/>
      <c r="W3" s="132"/>
      <c r="X3" s="132"/>
      <c r="Y3" s="132"/>
      <c r="Z3" s="132"/>
      <c r="AA3" s="132"/>
      <c r="AB3" s="204"/>
    </row>
    <row r="4" spans="1:28" s="81" customFormat="1" ht="20.25" customHeight="1" thickBot="1">
      <c r="A4" s="132"/>
      <c r="B4" s="1029" t="s">
        <v>132</v>
      </c>
      <c r="C4" s="1029"/>
      <c r="D4" s="1030"/>
      <c r="E4" s="1032" t="s">
        <v>479</v>
      </c>
      <c r="F4" s="1032"/>
      <c r="G4" s="1032"/>
      <c r="H4" s="1032"/>
      <c r="I4" s="132"/>
      <c r="J4" s="1028" t="s">
        <v>133</v>
      </c>
      <c r="K4" s="1028"/>
      <c r="L4" s="1039" t="s">
        <v>480</v>
      </c>
      <c r="M4" s="1039"/>
      <c r="N4" s="1039"/>
      <c r="O4" s="1039"/>
      <c r="P4" s="136"/>
      <c r="Q4" s="135"/>
      <c r="R4" s="175" t="s">
        <v>134</v>
      </c>
      <c r="S4" s="1033">
        <v>33327</v>
      </c>
      <c r="T4" s="1034"/>
      <c r="U4" s="1034"/>
      <c r="V4" s="132"/>
      <c r="W4" s="132"/>
      <c r="X4" s="132"/>
      <c r="Y4" s="132"/>
      <c r="Z4" s="132"/>
      <c r="AA4" s="132"/>
      <c r="AB4" s="204"/>
    </row>
    <row r="5" spans="1:28" s="81" customFormat="1" ht="20.25" customHeight="1" thickBot="1">
      <c r="A5" s="132"/>
      <c r="B5" s="1029" t="s">
        <v>135</v>
      </c>
      <c r="C5" s="1029"/>
      <c r="D5" s="1030"/>
      <c r="E5" s="1032" t="s">
        <v>229</v>
      </c>
      <c r="F5" s="1032"/>
      <c r="G5" s="1032"/>
      <c r="H5" s="1032"/>
      <c r="I5" s="132"/>
      <c r="J5" s="1028" t="s">
        <v>162</v>
      </c>
      <c r="K5" s="1028"/>
      <c r="L5" s="1038">
        <v>45630</v>
      </c>
      <c r="M5" s="1038"/>
      <c r="N5" s="1038"/>
      <c r="O5" s="1038"/>
      <c r="P5" s="137"/>
      <c r="Q5" s="135"/>
      <c r="R5" s="175" t="s">
        <v>116</v>
      </c>
      <c r="S5" s="1039" t="s">
        <v>485</v>
      </c>
      <c r="T5" s="1040"/>
      <c r="U5" s="1040"/>
      <c r="V5" s="132"/>
      <c r="W5" s="132"/>
      <c r="X5" s="132"/>
      <c r="Y5" s="132"/>
      <c r="Z5" s="132"/>
      <c r="AA5" s="132"/>
      <c r="AB5" s="204"/>
    </row>
    <row r="6" spans="1:28" s="81" customFormat="1" ht="20.25" customHeight="1" thickBot="1">
      <c r="A6" s="132"/>
      <c r="B6" s="1029" t="s">
        <v>170</v>
      </c>
      <c r="C6" s="1029"/>
      <c r="D6" s="1030"/>
      <c r="E6" s="1032" t="s">
        <v>483</v>
      </c>
      <c r="F6" s="1032"/>
      <c r="G6" s="1032"/>
      <c r="H6" s="1032"/>
      <c r="I6" s="132"/>
      <c r="J6" s="1028" t="s">
        <v>164</v>
      </c>
      <c r="K6" s="1028"/>
      <c r="L6" s="1035">
        <v>10699</v>
      </c>
      <c r="M6" s="1036"/>
      <c r="N6" s="1036"/>
      <c r="O6" s="1036"/>
      <c r="P6" s="138"/>
      <c r="Q6" s="135"/>
      <c r="R6" s="175" t="s">
        <v>117</v>
      </c>
      <c r="S6" s="1039" t="s">
        <v>169</v>
      </c>
      <c r="T6" s="1040"/>
      <c r="U6" s="1040"/>
      <c r="V6" s="132"/>
      <c r="W6" s="132"/>
      <c r="X6" s="132"/>
      <c r="Y6" s="132"/>
      <c r="Z6" s="132"/>
      <c r="AA6" s="132"/>
      <c r="AB6" s="204"/>
    </row>
    <row r="7" spans="1:28" s="81" customFormat="1" ht="20.25" customHeight="1" thickBot="1">
      <c r="A7" s="132"/>
      <c r="B7" s="1029" t="s">
        <v>113</v>
      </c>
      <c r="C7" s="1029"/>
      <c r="D7" s="1030"/>
      <c r="E7" s="1032" t="s">
        <v>230</v>
      </c>
      <c r="F7" s="1032"/>
      <c r="G7" s="1032"/>
      <c r="H7" s="1032"/>
      <c r="I7" s="132"/>
      <c r="J7" s="1028" t="s">
        <v>140</v>
      </c>
      <c r="K7" s="1028"/>
      <c r="L7" s="1035">
        <v>2024</v>
      </c>
      <c r="M7" s="1036"/>
      <c r="N7" s="1036"/>
      <c r="O7" s="1036"/>
      <c r="P7" s="136"/>
      <c r="Q7" s="135"/>
      <c r="R7" s="175" t="s">
        <v>171</v>
      </c>
      <c r="S7" s="1041">
        <f>COUNT('DataBase (IMO form)'!B8:B35)</f>
        <v>28</v>
      </c>
      <c r="T7" s="1042"/>
      <c r="U7" s="1042"/>
      <c r="V7" s="132"/>
      <c r="W7" s="132"/>
      <c r="X7" s="132"/>
      <c r="Y7" s="132"/>
      <c r="Z7" s="132"/>
      <c r="AA7" s="132"/>
      <c r="AB7" s="204"/>
    </row>
    <row r="8" spans="1:28" s="81" customFormat="1" ht="20.25" customHeight="1" thickBot="1">
      <c r="A8" s="132"/>
      <c r="B8" s="1029" t="s">
        <v>179</v>
      </c>
      <c r="C8" s="1029"/>
      <c r="D8" s="1030"/>
      <c r="E8" s="1047" t="s">
        <v>484</v>
      </c>
      <c r="F8" s="1048"/>
      <c r="G8" s="1048"/>
      <c r="H8" s="1048"/>
      <c r="I8" s="132"/>
      <c r="J8" s="1031" t="s">
        <v>49</v>
      </c>
      <c r="K8" s="1031"/>
      <c r="L8" s="1036" t="s">
        <v>481</v>
      </c>
      <c r="M8" s="1036"/>
      <c r="N8" s="1036"/>
      <c r="O8" s="1036"/>
      <c r="P8" s="136"/>
      <c r="Q8" s="135"/>
      <c r="R8" s="179" t="s">
        <v>114</v>
      </c>
      <c r="S8" s="1043" t="s">
        <v>936</v>
      </c>
      <c r="T8" s="1044"/>
      <c r="U8" s="1044"/>
      <c r="V8" s="132"/>
      <c r="W8" s="132"/>
      <c r="X8" s="132"/>
      <c r="Y8" s="132"/>
      <c r="Z8" s="132"/>
      <c r="AA8" s="132"/>
      <c r="AB8" s="204"/>
    </row>
    <row r="9" spans="1:28" s="127" customFormat="1" ht="20.25" customHeight="1" thickBot="1">
      <c r="A9" s="133"/>
      <c r="B9" s="140"/>
      <c r="C9" s="141"/>
      <c r="D9" s="141"/>
      <c r="E9" s="142"/>
      <c r="F9" s="142"/>
      <c r="G9" s="142"/>
      <c r="H9" s="142"/>
      <c r="I9" s="133"/>
      <c r="J9" s="1031" t="s">
        <v>126</v>
      </c>
      <c r="K9" s="1031"/>
      <c r="L9" s="1035">
        <v>6026048</v>
      </c>
      <c r="M9" s="1036"/>
      <c r="N9" s="1036"/>
      <c r="O9" s="1036"/>
      <c r="P9" s="143"/>
      <c r="Q9" s="139"/>
      <c r="R9" s="176" t="s">
        <v>136</v>
      </c>
      <c r="S9" s="1035">
        <v>6026048</v>
      </c>
      <c r="T9" s="1034"/>
      <c r="U9" s="1034"/>
      <c r="V9" s="133"/>
      <c r="W9" s="133"/>
      <c r="X9" s="133"/>
      <c r="Y9" s="133"/>
      <c r="Z9" s="133"/>
      <c r="AA9" s="133"/>
      <c r="AB9" s="205"/>
    </row>
    <row r="10" spans="1:28" s="126" customFormat="1" ht="23.25" customHeight="1" thickBot="1">
      <c r="A10" s="131"/>
      <c r="B10" s="174" t="s">
        <v>118</v>
      </c>
      <c r="C10" s="144"/>
      <c r="D10" s="144"/>
      <c r="E10" s="145"/>
      <c r="F10" s="145"/>
      <c r="G10" s="145"/>
      <c r="H10" s="145"/>
      <c r="I10" s="131"/>
      <c r="J10" s="177"/>
      <c r="K10" s="131"/>
      <c r="L10" s="145"/>
      <c r="M10" s="145"/>
      <c r="N10" s="145"/>
      <c r="O10" s="145"/>
      <c r="P10" s="146"/>
      <c r="Q10" s="146"/>
      <c r="R10" s="177"/>
      <c r="S10" s="131"/>
      <c r="T10" s="131"/>
      <c r="U10" s="131"/>
      <c r="V10" s="131"/>
      <c r="W10" s="131"/>
      <c r="X10" s="131"/>
      <c r="Y10" s="131"/>
      <c r="Z10" s="131"/>
      <c r="AA10" s="131"/>
      <c r="AB10" s="203"/>
    </row>
    <row r="11" spans="1:28" s="81" customFormat="1" ht="19.5" thickBot="1">
      <c r="A11" s="132"/>
      <c r="B11" s="1029" t="s">
        <v>119</v>
      </c>
      <c r="C11" s="1029"/>
      <c r="D11" s="1029"/>
      <c r="E11" s="1046" t="s">
        <v>943</v>
      </c>
      <c r="F11" s="1046"/>
      <c r="G11" s="1046"/>
      <c r="H11" s="1046"/>
      <c r="I11" s="132"/>
      <c r="J11" s="1028" t="s">
        <v>227</v>
      </c>
      <c r="K11" s="1028"/>
      <c r="L11" s="1046" t="s">
        <v>1011</v>
      </c>
      <c r="M11" s="1046"/>
      <c r="N11" s="1046"/>
      <c r="O11" s="1046"/>
      <c r="P11" s="147"/>
      <c r="Q11" s="135"/>
      <c r="R11" s="178" t="s">
        <v>42</v>
      </c>
      <c r="S11" s="1046" t="s">
        <v>943</v>
      </c>
      <c r="T11" s="1046"/>
      <c r="U11" s="1046"/>
      <c r="V11" s="524"/>
      <c r="W11" s="135"/>
      <c r="X11" s="132"/>
      <c r="Y11" s="132"/>
      <c r="Z11" s="132"/>
      <c r="AA11" s="132"/>
      <c r="AB11" s="204"/>
    </row>
    <row r="12" spans="1:28" s="81" customFormat="1" ht="19.5" customHeight="1" thickBot="1">
      <c r="A12" s="132"/>
      <c r="B12" s="1029" t="s">
        <v>152</v>
      </c>
      <c r="C12" s="1029"/>
      <c r="D12" s="1029"/>
      <c r="E12" s="1045" t="s">
        <v>944</v>
      </c>
      <c r="F12" s="1045"/>
      <c r="G12" s="1045"/>
      <c r="H12" s="1045"/>
      <c r="I12" s="132"/>
      <c r="J12" s="1028" t="s">
        <v>152</v>
      </c>
      <c r="K12" s="1028"/>
      <c r="L12" s="1045" t="s">
        <v>482</v>
      </c>
      <c r="M12" s="1045"/>
      <c r="N12" s="1045"/>
      <c r="O12" s="1045"/>
      <c r="P12" s="148"/>
      <c r="Q12" s="135"/>
      <c r="R12" s="179" t="s">
        <v>152</v>
      </c>
      <c r="S12" s="1045" t="s">
        <v>944</v>
      </c>
      <c r="T12" s="1045"/>
      <c r="U12" s="1045"/>
      <c r="V12" s="525"/>
      <c r="W12" s="135"/>
      <c r="X12" s="132"/>
      <c r="Y12" s="132"/>
      <c r="Z12" s="132"/>
      <c r="AA12" s="132"/>
      <c r="AB12" s="204"/>
    </row>
    <row r="13" spans="1:28" s="81" customFormat="1" ht="19.5" customHeight="1" thickBot="1">
      <c r="A13" s="132"/>
      <c r="B13" s="1029" t="s">
        <v>153</v>
      </c>
      <c r="C13" s="1029"/>
      <c r="D13" s="1029"/>
      <c r="E13" s="1074">
        <v>46081</v>
      </c>
      <c r="F13" s="1074"/>
      <c r="G13" s="1074"/>
      <c r="H13" s="1074"/>
      <c r="I13" s="132"/>
      <c r="J13" s="1028" t="s">
        <v>153</v>
      </c>
      <c r="K13" s="1028"/>
      <c r="L13" s="1074">
        <v>46106</v>
      </c>
      <c r="M13" s="1074"/>
      <c r="N13" s="1074"/>
      <c r="O13" s="1074"/>
      <c r="P13" s="149" t="s">
        <v>226</v>
      </c>
      <c r="Q13" s="150"/>
      <c r="R13" s="179" t="s">
        <v>70</v>
      </c>
      <c r="S13" s="1072" t="s">
        <v>992</v>
      </c>
      <c r="T13" s="1073"/>
      <c r="U13" s="1073"/>
      <c r="V13" s="207"/>
      <c r="W13" s="135"/>
      <c r="X13" s="132"/>
      <c r="Y13" s="132"/>
      <c r="Z13" s="132"/>
      <c r="AA13" s="132"/>
      <c r="AB13" s="204"/>
    </row>
    <row r="14" spans="1:28" s="81" customFormat="1" ht="19.5" customHeight="1" thickBot="1">
      <c r="A14" s="132"/>
      <c r="B14" s="1029" t="s">
        <v>89</v>
      </c>
      <c r="C14" s="1029"/>
      <c r="D14" s="1029"/>
      <c r="E14" s="1074">
        <v>46084</v>
      </c>
      <c r="F14" s="1074"/>
      <c r="G14" s="1074"/>
      <c r="H14" s="1074"/>
      <c r="I14" s="132"/>
      <c r="J14" s="1028" t="s">
        <v>89</v>
      </c>
      <c r="K14" s="1028"/>
      <c r="L14" s="1074"/>
      <c r="M14" s="1074"/>
      <c r="N14" s="1074"/>
      <c r="O14" s="1074"/>
      <c r="P14" s="151"/>
      <c r="Q14" s="135"/>
      <c r="R14" s="179" t="s">
        <v>442</v>
      </c>
      <c r="S14" s="1072" t="s">
        <v>945</v>
      </c>
      <c r="T14" s="1073"/>
      <c r="U14" s="1073"/>
      <c r="V14" s="188"/>
      <c r="W14" s="132"/>
      <c r="X14" s="132"/>
      <c r="Y14" s="132"/>
      <c r="Z14" s="132"/>
      <c r="AA14" s="132"/>
      <c r="AB14" s="204"/>
    </row>
    <row r="15" spans="1:28" s="81" customFormat="1" ht="19.5" customHeight="1" thickBot="1">
      <c r="A15" s="132"/>
      <c r="B15" s="1029" t="s">
        <v>90</v>
      </c>
      <c r="C15" s="1029"/>
      <c r="D15" s="1029"/>
      <c r="E15" s="1046" t="s">
        <v>961</v>
      </c>
      <c r="F15" s="1046"/>
      <c r="G15" s="1046"/>
      <c r="H15" s="1046"/>
      <c r="I15" s="200" t="s">
        <v>36</v>
      </c>
      <c r="J15" s="1028" t="s">
        <v>90</v>
      </c>
      <c r="K15" s="1028"/>
      <c r="L15" s="1046" t="s">
        <v>942</v>
      </c>
      <c r="M15" s="1046"/>
      <c r="N15" s="1046"/>
      <c r="O15" s="1046"/>
      <c r="P15" s="152"/>
      <c r="Q15" s="135"/>
      <c r="R15" s="175" t="s">
        <v>151</v>
      </c>
      <c r="S15" s="1069" t="s">
        <v>937</v>
      </c>
      <c r="T15" s="1069"/>
      <c r="U15" s="1069"/>
      <c r="V15" s="188"/>
      <c r="W15" s="132"/>
      <c r="X15" s="132"/>
      <c r="Y15" s="132"/>
      <c r="Z15" s="132"/>
      <c r="AA15" s="132"/>
      <c r="AB15" s="204"/>
    </row>
    <row r="16" spans="1:28" s="81" customFormat="1" ht="19.5" customHeight="1" thickBot="1">
      <c r="A16" s="132"/>
      <c r="B16" s="1029" t="s">
        <v>178</v>
      </c>
      <c r="C16" s="1029"/>
      <c r="D16" s="1029"/>
      <c r="E16" s="1075" t="s">
        <v>237</v>
      </c>
      <c r="F16" s="1075"/>
      <c r="G16" s="1075"/>
      <c r="H16" s="1075"/>
      <c r="I16" s="135"/>
      <c r="J16" s="1028" t="s">
        <v>178</v>
      </c>
      <c r="K16" s="1028"/>
      <c r="L16" s="1075" t="s">
        <v>237</v>
      </c>
      <c r="M16" s="1075"/>
      <c r="N16" s="1075"/>
      <c r="O16" s="1075"/>
      <c r="P16" s="153"/>
      <c r="Q16" s="154"/>
      <c r="R16" s="175" t="s">
        <v>139</v>
      </c>
      <c r="S16" s="1069" t="s">
        <v>937</v>
      </c>
      <c r="T16" s="1069"/>
      <c r="U16" s="1069"/>
      <c r="V16" s="188"/>
      <c r="W16" s="132"/>
      <c r="X16" s="132"/>
      <c r="Y16" s="132"/>
      <c r="Z16" s="132"/>
      <c r="AA16" s="132"/>
      <c r="AB16" s="204"/>
    </row>
    <row r="17" spans="1:28" s="127" customFormat="1" ht="18" customHeight="1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9"/>
      <c r="Q17" s="139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205"/>
    </row>
    <row r="18" spans="1:28" s="126" customFormat="1" ht="20.25" customHeight="1">
      <c r="A18" s="133"/>
      <c r="B18" s="1070" t="s">
        <v>41</v>
      </c>
      <c r="C18" s="1070"/>
      <c r="D18" s="1070"/>
      <c r="E18" s="1070"/>
      <c r="F18" s="1070"/>
      <c r="G18" s="1070"/>
      <c r="H18" s="1070"/>
      <c r="I18" s="1070"/>
      <c r="J18" s="1070"/>
      <c r="K18" s="1070"/>
      <c r="L18" s="1070"/>
      <c r="M18" s="1070"/>
      <c r="N18" s="1070"/>
      <c r="O18" s="1070"/>
      <c r="P18" s="155"/>
      <c r="Q18" s="156"/>
      <c r="R18" s="156"/>
      <c r="S18" s="1071"/>
      <c r="T18" s="1071"/>
      <c r="U18" s="1071"/>
      <c r="V18" s="131"/>
      <c r="W18" s="131"/>
      <c r="X18" s="131"/>
      <c r="Y18" s="131"/>
      <c r="Z18" s="131"/>
      <c r="AA18" s="131"/>
      <c r="AB18" s="203"/>
    </row>
    <row r="19" spans="1:28" s="81" customFormat="1" ht="19.5" customHeight="1" thickBot="1">
      <c r="A19" s="132"/>
      <c r="B19" s="157"/>
      <c r="C19" s="132"/>
      <c r="D19" s="150"/>
      <c r="E19" s="1049"/>
      <c r="F19" s="1049"/>
      <c r="G19" s="1049"/>
      <c r="H19" s="132"/>
      <c r="I19" s="135"/>
      <c r="J19" s="157"/>
      <c r="K19" s="135"/>
      <c r="L19" s="150"/>
      <c r="M19" s="130"/>
      <c r="N19" s="130"/>
      <c r="O19" s="130"/>
      <c r="P19" s="159"/>
      <c r="Q19" s="158"/>
      <c r="R19" s="158"/>
      <c r="S19" s="132"/>
      <c r="T19" s="132"/>
      <c r="U19" s="132"/>
      <c r="V19" s="160"/>
      <c r="W19" s="132"/>
      <c r="X19" s="132"/>
      <c r="Y19" s="132"/>
      <c r="Z19" s="132"/>
      <c r="AA19" s="132"/>
      <c r="AB19" s="204"/>
    </row>
    <row r="20" spans="1:28" s="81" customFormat="1" ht="19.5" customHeight="1" thickBot="1">
      <c r="A20" s="132"/>
      <c r="B20" s="157"/>
      <c r="C20" s="132"/>
      <c r="D20" s="150"/>
      <c r="E20" s="1049"/>
      <c r="F20" s="1049"/>
      <c r="G20" s="1049"/>
      <c r="H20" s="132"/>
      <c r="I20" s="135"/>
      <c r="J20" s="161"/>
      <c r="K20" s="132"/>
      <c r="L20" s="162"/>
      <c r="M20" s="132"/>
      <c r="N20" s="163"/>
      <c r="O20" s="164" t="s">
        <v>167</v>
      </c>
      <c r="P20" s="163"/>
      <c r="Q20" s="1056"/>
      <c r="R20" s="1057"/>
      <c r="S20" s="1057"/>
      <c r="T20" s="1057"/>
      <c r="U20" s="1058"/>
      <c r="V20" s="165"/>
      <c r="W20" s="132"/>
      <c r="X20" s="132"/>
      <c r="Y20" s="132"/>
      <c r="Z20" s="132"/>
      <c r="AA20" s="132"/>
      <c r="AB20" s="204"/>
    </row>
    <row r="21" spans="1:28" s="81" customFormat="1" ht="27" customHeight="1" thickBot="1">
      <c r="A21" s="132"/>
      <c r="B21" s="157"/>
      <c r="C21" s="132"/>
      <c r="D21" s="150"/>
      <c r="E21" s="1049"/>
      <c r="F21" s="1049"/>
      <c r="G21" s="1049"/>
      <c r="H21" s="132"/>
      <c r="I21" s="135"/>
      <c r="J21" s="161"/>
      <c r="K21" s="132"/>
      <c r="L21" s="162"/>
      <c r="M21" s="132"/>
      <c r="N21" s="163"/>
      <c r="O21" s="164" t="s">
        <v>66</v>
      </c>
      <c r="P21" s="163"/>
      <c r="Q21" s="1059"/>
      <c r="R21" s="1060"/>
      <c r="S21" s="1060"/>
      <c r="T21" s="1060"/>
      <c r="U21" s="1061"/>
      <c r="V21" s="165"/>
      <c r="W21" s="132"/>
      <c r="X21" s="132"/>
      <c r="Y21" s="132"/>
      <c r="Z21" s="132"/>
      <c r="AA21" s="132"/>
      <c r="AB21" s="204"/>
    </row>
    <row r="22" spans="1:28" s="81" customFormat="1" ht="27" customHeight="1" thickBot="1">
      <c r="A22" s="132"/>
      <c r="B22" s="157"/>
      <c r="C22" s="132"/>
      <c r="D22" s="150"/>
      <c r="E22" s="1049"/>
      <c r="F22" s="1049"/>
      <c r="G22" s="1049"/>
      <c r="H22" s="132"/>
      <c r="I22" s="135"/>
      <c r="J22" s="161"/>
      <c r="K22" s="132"/>
      <c r="L22" s="162"/>
      <c r="M22" s="132"/>
      <c r="N22" s="163"/>
      <c r="O22" s="164" t="s">
        <v>67</v>
      </c>
      <c r="P22" s="163"/>
      <c r="Q22" s="1051"/>
      <c r="R22" s="1052"/>
      <c r="S22" s="1052"/>
      <c r="T22" s="1052"/>
      <c r="U22" s="1053"/>
      <c r="V22" s="132"/>
      <c r="W22" s="132"/>
      <c r="X22" s="132"/>
      <c r="Y22" s="132"/>
      <c r="Z22" s="132"/>
      <c r="AA22" s="132"/>
      <c r="AB22" s="204"/>
    </row>
    <row r="23" spans="1:28" s="81" customFormat="1" ht="15.75" customHeight="1">
      <c r="A23" s="132"/>
      <c r="B23" s="157"/>
      <c r="C23" s="132"/>
      <c r="D23" s="150"/>
      <c r="E23" s="1050"/>
      <c r="F23" s="1050"/>
      <c r="G23" s="130"/>
      <c r="H23" s="132"/>
      <c r="I23" s="135"/>
      <c r="J23" s="157"/>
      <c r="K23" s="135"/>
      <c r="L23" s="150"/>
      <c r="M23" s="130"/>
      <c r="N23" s="130"/>
      <c r="O23" s="166"/>
      <c r="P23" s="166"/>
      <c r="Q23" s="166"/>
      <c r="R23" s="166"/>
      <c r="S23" s="132" t="s">
        <v>184</v>
      </c>
      <c r="T23" s="132" t="s">
        <v>184</v>
      </c>
      <c r="U23" s="200" t="s">
        <v>184</v>
      </c>
      <c r="V23" s="132"/>
      <c r="W23" s="132"/>
      <c r="X23" s="132"/>
      <c r="Y23" s="132"/>
      <c r="Z23" s="132"/>
      <c r="AA23" s="132"/>
      <c r="AB23" s="204"/>
    </row>
    <row r="24" spans="1:28" s="81" customFormat="1" ht="18" customHeight="1">
      <c r="A24" s="132"/>
      <c r="B24" s="157"/>
      <c r="C24" s="132"/>
      <c r="D24" s="150"/>
      <c r="E24" s="1050"/>
      <c r="F24" s="1050"/>
      <c r="G24" s="167"/>
      <c r="H24" s="132"/>
      <c r="I24" s="135"/>
      <c r="J24" s="157"/>
      <c r="K24" s="135"/>
      <c r="L24" s="150"/>
      <c r="M24" s="1054"/>
      <c r="N24" s="1054"/>
      <c r="O24" s="1054"/>
      <c r="P24" s="168"/>
      <c r="Q24" s="132"/>
      <c r="R24" s="132"/>
      <c r="S24" s="1055" t="s">
        <v>143</v>
      </c>
      <c r="T24" s="1055"/>
      <c r="U24" s="1055"/>
      <c r="V24" s="132"/>
      <c r="W24" s="132"/>
      <c r="X24" s="132"/>
      <c r="Y24" s="132"/>
      <c r="Z24" s="132"/>
      <c r="AA24" s="132"/>
      <c r="AB24" s="204"/>
    </row>
    <row r="25" spans="1:28" s="81" customFormat="1" ht="18" customHeight="1">
      <c r="A25" s="132"/>
      <c r="B25" s="157"/>
      <c r="C25" s="132"/>
      <c r="D25" s="150"/>
      <c r="E25" s="1050"/>
      <c r="F25" s="1050"/>
      <c r="G25" s="158"/>
      <c r="H25" s="132"/>
      <c r="I25" s="135"/>
      <c r="J25" s="157"/>
      <c r="K25" s="135"/>
      <c r="L25" s="150"/>
      <c r="M25" s="1050"/>
      <c r="N25" s="1050"/>
      <c r="O25" s="1050"/>
      <c r="P25" s="159"/>
      <c r="Q25" s="132"/>
      <c r="R25" s="132"/>
      <c r="S25" s="1062" t="s">
        <v>287</v>
      </c>
      <c r="T25" s="1062"/>
      <c r="U25" s="1062"/>
      <c r="V25" s="132"/>
      <c r="W25" s="132"/>
      <c r="X25" s="132"/>
      <c r="Y25" s="132"/>
      <c r="Z25" s="132"/>
      <c r="AA25" s="132"/>
      <c r="AB25" s="204"/>
    </row>
    <row r="26" spans="1:28" s="81" customFormat="1" ht="18" customHeight="1">
      <c r="A26" s="132"/>
      <c r="B26" s="157"/>
      <c r="C26" s="132"/>
      <c r="D26" s="150"/>
      <c r="E26" s="1050"/>
      <c r="F26" s="1050"/>
      <c r="G26" s="1050"/>
      <c r="H26" s="200" t="s">
        <v>474</v>
      </c>
      <c r="I26" s="135"/>
      <c r="J26" s="157"/>
      <c r="K26" s="135"/>
      <c r="L26" s="150"/>
      <c r="M26" s="1050"/>
      <c r="N26" s="1050"/>
      <c r="O26" s="1050"/>
      <c r="P26" s="159"/>
      <c r="Q26" s="132"/>
      <c r="R26" s="208" t="s">
        <v>228</v>
      </c>
      <c r="S26" s="132"/>
      <c r="T26" s="132"/>
      <c r="U26" s="132"/>
      <c r="V26" s="132"/>
      <c r="W26" s="132"/>
      <c r="X26" s="132"/>
      <c r="Y26" s="132"/>
      <c r="Z26" s="132"/>
      <c r="AA26" s="132"/>
      <c r="AB26" s="204"/>
    </row>
    <row r="27" spans="1:28" s="81" customFormat="1" ht="18" customHeight="1">
      <c r="A27" s="162"/>
      <c r="B27" s="157"/>
      <c r="C27" s="132"/>
      <c r="D27" s="150"/>
      <c r="E27" s="1050"/>
      <c r="F27" s="1050"/>
      <c r="G27" s="1050"/>
      <c r="H27" s="162"/>
      <c r="I27" s="161"/>
      <c r="J27" s="157"/>
      <c r="K27" s="135"/>
      <c r="L27" s="150"/>
      <c r="M27" s="1050"/>
      <c r="N27" s="1050"/>
      <c r="O27" s="1050"/>
      <c r="P27" s="159"/>
      <c r="Q27" s="159"/>
      <c r="R27" s="162"/>
      <c r="S27" s="162"/>
      <c r="T27" s="162"/>
      <c r="U27" s="162"/>
      <c r="V27" s="169"/>
      <c r="W27" s="132"/>
      <c r="X27" s="132"/>
      <c r="Y27" s="132"/>
      <c r="Z27" s="132"/>
      <c r="AA27" s="132"/>
      <c r="AB27" s="204"/>
    </row>
    <row r="28" spans="1:28" s="81" customFormat="1" ht="18" customHeight="1">
      <c r="A28" s="162"/>
      <c r="B28" s="157"/>
      <c r="C28" s="132"/>
      <c r="D28" s="150"/>
      <c r="E28" s="1050"/>
      <c r="F28" s="1050"/>
      <c r="G28" s="1050"/>
      <c r="H28" s="162"/>
      <c r="I28" s="161"/>
      <c r="J28" s="157"/>
      <c r="K28" s="135"/>
      <c r="L28" s="150"/>
      <c r="M28" s="1064"/>
      <c r="N28" s="1064"/>
      <c r="O28" s="1064"/>
      <c r="P28" s="1064"/>
      <c r="Q28" s="1064"/>
      <c r="R28" s="161"/>
      <c r="S28" s="162"/>
      <c r="T28" s="162"/>
      <c r="U28" s="162"/>
      <c r="V28" s="132"/>
      <c r="W28" s="132"/>
      <c r="X28" s="132"/>
      <c r="Y28" s="132"/>
      <c r="Z28" s="132"/>
      <c r="AA28" s="132"/>
      <c r="AB28" s="204"/>
    </row>
    <row r="29" spans="1:28" s="81" customFormat="1" ht="18" customHeight="1">
      <c r="A29" s="162"/>
      <c r="B29" s="170"/>
      <c r="C29" s="162"/>
      <c r="D29" s="161"/>
      <c r="E29" s="1065"/>
      <c r="F29" s="1065"/>
      <c r="G29" s="1065"/>
      <c r="H29" s="162"/>
      <c r="I29" s="161"/>
      <c r="J29" s="171"/>
      <c r="K29" s="161"/>
      <c r="L29" s="161"/>
      <c r="M29" s="1064"/>
      <c r="N29" s="1064"/>
      <c r="O29" s="1064"/>
      <c r="P29" s="1064"/>
      <c r="Q29" s="1064"/>
      <c r="R29" s="161"/>
      <c r="S29" s="162"/>
      <c r="T29" s="162"/>
      <c r="U29" s="162"/>
      <c r="V29" s="132"/>
      <c r="W29" s="132"/>
      <c r="X29" s="132"/>
      <c r="Y29" s="132"/>
      <c r="Z29" s="132"/>
      <c r="AA29" s="132"/>
      <c r="AB29" s="204"/>
    </row>
    <row r="30" spans="1:28" s="81" customFormat="1" ht="18" customHeight="1">
      <c r="A30" s="162"/>
      <c r="B30" s="170"/>
      <c r="C30" s="162"/>
      <c r="D30" s="162"/>
      <c r="E30" s="1054"/>
      <c r="F30" s="1054"/>
      <c r="G30" s="159"/>
      <c r="H30" s="162"/>
      <c r="I30" s="161"/>
      <c r="J30" s="172"/>
      <c r="K30" s="161"/>
      <c r="L30" s="161"/>
      <c r="M30" s="1066"/>
      <c r="N30" s="1066"/>
      <c r="O30" s="1066"/>
      <c r="P30" s="1066"/>
      <c r="Q30" s="1066"/>
      <c r="R30" s="1066"/>
      <c r="S30" s="162"/>
      <c r="T30" s="162"/>
      <c r="U30" s="162"/>
      <c r="V30" s="132"/>
      <c r="W30" s="132"/>
      <c r="X30" s="132"/>
      <c r="Y30" s="132"/>
      <c r="Z30" s="132"/>
      <c r="AA30" s="132"/>
      <c r="AB30" s="204"/>
    </row>
    <row r="31" spans="1:28" s="81" customFormat="1" ht="18" customHeight="1">
      <c r="A31" s="162"/>
      <c r="B31" s="161"/>
      <c r="C31" s="162"/>
      <c r="D31" s="162"/>
      <c r="E31" s="1067"/>
      <c r="F31" s="1067"/>
      <c r="G31" s="1067"/>
      <c r="H31" s="162"/>
      <c r="I31" s="161"/>
      <c r="J31" s="173"/>
      <c r="K31" s="161"/>
      <c r="L31" s="161"/>
      <c r="M31" s="1068"/>
      <c r="N31" s="1068"/>
      <c r="O31" s="1068"/>
      <c r="P31" s="1068"/>
      <c r="Q31" s="1068"/>
      <c r="R31" s="1068"/>
      <c r="S31" s="162"/>
      <c r="T31" s="162"/>
      <c r="U31" s="162"/>
      <c r="V31" s="132"/>
      <c r="W31" s="132"/>
      <c r="X31" s="132"/>
      <c r="Y31" s="132"/>
      <c r="Z31" s="132"/>
      <c r="AA31" s="132"/>
      <c r="AB31" s="204"/>
    </row>
    <row r="32" spans="1:28" s="81" customFormat="1" ht="18" customHeight="1">
      <c r="A32" s="162"/>
      <c r="B32" s="161"/>
      <c r="C32" s="162"/>
      <c r="D32" s="162"/>
      <c r="E32" s="162"/>
      <c r="F32" s="162"/>
      <c r="G32" s="162"/>
      <c r="H32" s="162"/>
      <c r="I32" s="161"/>
      <c r="J32" s="173"/>
      <c r="K32" s="161"/>
      <c r="L32" s="161"/>
      <c r="M32" s="1063"/>
      <c r="N32" s="1063"/>
      <c r="O32" s="1063"/>
      <c r="P32" s="1063"/>
      <c r="Q32" s="1063"/>
      <c r="R32" s="1063"/>
      <c r="S32" s="162"/>
      <c r="T32" s="162"/>
      <c r="U32" s="162"/>
      <c r="V32" s="132"/>
      <c r="W32" s="132"/>
      <c r="X32" s="132"/>
      <c r="Y32" s="132"/>
      <c r="Z32" s="132"/>
      <c r="AA32" s="132"/>
      <c r="AB32" s="204"/>
    </row>
    <row r="33" spans="1:28" s="81" customFormat="1" ht="18" customHeight="1">
      <c r="A33" s="162"/>
      <c r="B33" s="162"/>
      <c r="C33" s="162"/>
      <c r="D33" s="162"/>
      <c r="E33" s="162"/>
      <c r="F33" s="162"/>
      <c r="G33" s="162"/>
      <c r="H33" s="162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2"/>
      <c r="T33" s="162"/>
      <c r="U33" s="162"/>
      <c r="V33" s="132"/>
      <c r="W33" s="132"/>
      <c r="X33" s="132"/>
      <c r="Y33" s="132"/>
      <c r="Z33" s="132"/>
      <c r="AA33" s="132"/>
      <c r="AB33" s="204"/>
    </row>
    <row r="34" spans="1:28" s="81" customFormat="1" ht="18" customHeight="1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32"/>
      <c r="W34" s="132"/>
      <c r="X34" s="132"/>
      <c r="Y34" s="132"/>
      <c r="Z34" s="132"/>
      <c r="AA34" s="132"/>
      <c r="AB34" s="204"/>
    </row>
    <row r="35" spans="1:28" s="81" customFormat="1" ht="18" customHeight="1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054"/>
      <c r="P35" s="1054"/>
      <c r="Q35" s="1054"/>
      <c r="R35" s="162"/>
      <c r="S35" s="162"/>
      <c r="T35" s="162"/>
      <c r="U35" s="162"/>
      <c r="V35" s="132"/>
      <c r="W35" s="132"/>
      <c r="X35" s="132"/>
      <c r="Y35" s="132"/>
      <c r="Z35" s="132"/>
      <c r="AA35" s="132"/>
      <c r="AB35" s="204"/>
    </row>
    <row r="36" spans="1:28" s="81" customFormat="1" ht="18" customHeight="1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32"/>
      <c r="W36" s="132"/>
      <c r="X36" s="132"/>
      <c r="Y36" s="132"/>
      <c r="Z36" s="132"/>
      <c r="AA36" s="132"/>
      <c r="AB36" s="204"/>
    </row>
    <row r="37" spans="1:28" s="81" customFormat="1" ht="18" customHeight="1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050"/>
      <c r="P37" s="1050"/>
      <c r="Q37" s="1050"/>
      <c r="R37" s="162"/>
      <c r="S37" s="162"/>
      <c r="T37" s="162"/>
      <c r="U37" s="162"/>
      <c r="V37" s="132"/>
      <c r="W37" s="132"/>
      <c r="X37" s="132"/>
      <c r="Y37" s="132"/>
      <c r="Z37" s="132"/>
      <c r="AA37" s="132"/>
      <c r="AB37" s="204"/>
    </row>
    <row r="38" spans="1:28" ht="18" customHeight="1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</row>
    <row r="39" spans="1:28" ht="18" customHeight="1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</row>
    <row r="40" spans="1:28" ht="18" customHeight="1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</row>
    <row r="41" spans="1:28" ht="18" customHeight="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</row>
    <row r="42" spans="1:28" ht="18" customHeight="1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</row>
    <row r="43" spans="1:28" ht="18" customHeight="1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</row>
    <row r="44" spans="1:28" ht="18" customHeight="1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</row>
    <row r="45" spans="1:28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</row>
    <row r="46" spans="1:28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</row>
    <row r="47" spans="1:28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</row>
    <row r="48" spans="1:2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</row>
    <row r="49" spans="1:27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</row>
  </sheetData>
  <mergeCells count="94">
    <mergeCell ref="S16:U16"/>
    <mergeCell ref="B18:O18"/>
    <mergeCell ref="S18:U18"/>
    <mergeCell ref="S15:U15"/>
    <mergeCell ref="S13:U13"/>
    <mergeCell ref="L13:O13"/>
    <mergeCell ref="E13:H13"/>
    <mergeCell ref="E16:H16"/>
    <mergeCell ref="L14:O14"/>
    <mergeCell ref="L15:O15"/>
    <mergeCell ref="L16:O16"/>
    <mergeCell ref="E14:H14"/>
    <mergeCell ref="E15:H15"/>
    <mergeCell ref="S14:U14"/>
    <mergeCell ref="B16:D16"/>
    <mergeCell ref="J13:K13"/>
    <mergeCell ref="O37:Q37"/>
    <mergeCell ref="E30:F30"/>
    <mergeCell ref="M30:R30"/>
    <mergeCell ref="E31:G31"/>
    <mergeCell ref="M31:R31"/>
    <mergeCell ref="O35:Q35"/>
    <mergeCell ref="S25:U25"/>
    <mergeCell ref="E26:G26"/>
    <mergeCell ref="M26:O26"/>
    <mergeCell ref="M32:R32"/>
    <mergeCell ref="E28:G28"/>
    <mergeCell ref="M28:Q28"/>
    <mergeCell ref="E29:G29"/>
    <mergeCell ref="M29:Q29"/>
    <mergeCell ref="E27:G27"/>
    <mergeCell ref="M27:O27"/>
    <mergeCell ref="E25:F25"/>
    <mergeCell ref="M25:O25"/>
    <mergeCell ref="E19:G19"/>
    <mergeCell ref="E22:G22"/>
    <mergeCell ref="E24:F24"/>
    <mergeCell ref="Q22:U22"/>
    <mergeCell ref="M24:O24"/>
    <mergeCell ref="E23:F23"/>
    <mergeCell ref="E21:G21"/>
    <mergeCell ref="S24:U24"/>
    <mergeCell ref="Q20:U20"/>
    <mergeCell ref="Q21:U21"/>
    <mergeCell ref="E20:G20"/>
    <mergeCell ref="S7:U7"/>
    <mergeCell ref="L7:O7"/>
    <mergeCell ref="S8:U8"/>
    <mergeCell ref="S9:U9"/>
    <mergeCell ref="E12:H12"/>
    <mergeCell ref="E11:H11"/>
    <mergeCell ref="L8:O8"/>
    <mergeCell ref="L11:O11"/>
    <mergeCell ref="L9:O9"/>
    <mergeCell ref="E8:H8"/>
    <mergeCell ref="L12:O12"/>
    <mergeCell ref="S11:U11"/>
    <mergeCell ref="S12:U12"/>
    <mergeCell ref="J9:K9"/>
    <mergeCell ref="J11:K11"/>
    <mergeCell ref="J12:K12"/>
    <mergeCell ref="S3:U3"/>
    <mergeCell ref="L6:O6"/>
    <mergeCell ref="E3:H3"/>
    <mergeCell ref="E4:H4"/>
    <mergeCell ref="E5:H5"/>
    <mergeCell ref="E6:H6"/>
    <mergeCell ref="L3:O3"/>
    <mergeCell ref="L5:O5"/>
    <mergeCell ref="S4:U4"/>
    <mergeCell ref="S5:U5"/>
    <mergeCell ref="L4:O4"/>
    <mergeCell ref="S6:U6"/>
    <mergeCell ref="B12:D12"/>
    <mergeCell ref="B13:D13"/>
    <mergeCell ref="B14:D14"/>
    <mergeCell ref="B15:D15"/>
    <mergeCell ref="E7:H7"/>
    <mergeCell ref="J14:K14"/>
    <mergeCell ref="J15:K15"/>
    <mergeCell ref="J16:K16"/>
    <mergeCell ref="B8:D8"/>
    <mergeCell ref="J3:K3"/>
    <mergeCell ref="J4:K4"/>
    <mergeCell ref="J5:K5"/>
    <mergeCell ref="J6:K6"/>
    <mergeCell ref="J7:K7"/>
    <mergeCell ref="J8:K8"/>
    <mergeCell ref="B3:D3"/>
    <mergeCell ref="B4:D4"/>
    <mergeCell ref="B5:D5"/>
    <mergeCell ref="B6:D6"/>
    <mergeCell ref="B7:D7"/>
    <mergeCell ref="B11:D11"/>
  </mergeCells>
  <phoneticPr fontId="0" type="noConversion"/>
  <pageMargins left="0.75" right="0.75" top="1" bottom="1" header="0.5" footer="0.5"/>
  <pageSetup paperSize="9" orientation="portrait" horizont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4">
    <tabColor indexed="17"/>
    <pageSetUpPr fitToPage="1"/>
  </sheetPr>
  <dimension ref="A1:AT36"/>
  <sheetViews>
    <sheetView showGridLines="0" zoomScale="115" zoomScaleNormal="115" zoomScaleSheetLayoutView="115" workbookViewId="0">
      <pane xSplit="4" ySplit="7" topLeftCell="E8" activePane="bottomRight" state="frozen"/>
      <selection activeCell="G11" sqref="G11:I11"/>
      <selection pane="topRight" activeCell="G11" sqref="G11:I11"/>
      <selection pane="bottomLeft" activeCell="G11" sqref="G11:I11"/>
      <selection pane="bottomRight" activeCell="X20" sqref="X20"/>
    </sheetView>
  </sheetViews>
  <sheetFormatPr defaultColWidth="9.140625" defaultRowHeight="11.25"/>
  <cols>
    <col min="1" max="1" width="1.42578125" style="448" customWidth="1"/>
    <col min="2" max="2" width="3.7109375" style="448" customWidth="1"/>
    <col min="3" max="3" width="10.85546875" style="448" customWidth="1"/>
    <col min="4" max="4" width="33.28515625" style="449" customWidth="1"/>
    <col min="5" max="5" width="19.85546875" style="449" customWidth="1"/>
    <col min="6" max="6" width="6" style="448" customWidth="1"/>
    <col min="7" max="7" width="14.5703125" style="450" customWidth="1"/>
    <col min="8" max="8" width="7.140625" style="448" customWidth="1"/>
    <col min="9" max="10" width="13.140625" style="451" customWidth="1"/>
    <col min="11" max="11" width="23.42578125" style="450" customWidth="1"/>
    <col min="12" max="12" width="16.42578125" style="448" customWidth="1"/>
    <col min="13" max="13" width="16.7109375" style="448" customWidth="1"/>
    <col min="14" max="14" width="14.140625" style="448" customWidth="1"/>
    <col min="15" max="15" width="0.5703125" style="448" customWidth="1"/>
    <col min="16" max="16" width="13.85546875" style="451" customWidth="1"/>
    <col min="17" max="17" width="12.140625" style="452" customWidth="1"/>
    <col min="18" max="18" width="6.140625" style="448" customWidth="1"/>
    <col min="19" max="19" width="8.7109375" style="450" customWidth="1"/>
    <col min="20" max="20" width="12.85546875" style="453" customWidth="1"/>
    <col min="21" max="21" width="24.7109375" style="448" customWidth="1"/>
    <col min="22" max="22" width="0.5703125" style="448" customWidth="1"/>
    <col min="23" max="23" width="12.28515625" style="448" customWidth="1"/>
    <col min="24" max="25" width="13.28515625" style="451" customWidth="1"/>
    <col min="26" max="26" width="20.140625" style="451" customWidth="1"/>
    <col min="27" max="28" width="13.28515625" style="451" customWidth="1"/>
    <col min="29" max="29" width="0.5703125" style="451" customWidth="1"/>
    <col min="30" max="32" width="13.7109375" style="451" customWidth="1"/>
    <col min="33" max="33" width="12.85546875" style="454" customWidth="1"/>
    <col min="34" max="34" width="13" style="448" customWidth="1"/>
    <col min="35" max="35" width="17.140625" style="448" customWidth="1"/>
    <col min="36" max="36" width="10.28515625" style="448" bestFit="1" customWidth="1"/>
    <col min="37" max="37" width="0.5703125" style="448" customWidth="1"/>
    <col min="38" max="39" width="10.28515625" style="448" customWidth="1"/>
    <col min="40" max="40" width="11" style="448" customWidth="1"/>
    <col min="41" max="41" width="84.7109375" style="454" customWidth="1"/>
    <col min="42" max="42" width="1.5703125" style="448" customWidth="1"/>
    <col min="43" max="16384" width="9.140625" style="448"/>
  </cols>
  <sheetData>
    <row r="1" spans="1:46" s="443" customFormat="1" ht="26.25" customHeight="1">
      <c r="A1" s="670"/>
      <c r="B1" s="670" t="s">
        <v>150</v>
      </c>
      <c r="C1" s="670"/>
      <c r="D1" s="671"/>
      <c r="E1" s="671"/>
      <c r="F1" s="670"/>
      <c r="G1" s="672"/>
      <c r="H1" s="670"/>
      <c r="I1" s="673"/>
      <c r="J1" s="673"/>
      <c r="K1" s="672"/>
      <c r="L1" s="670"/>
      <c r="M1" s="670"/>
      <c r="N1" s="670"/>
      <c r="O1" s="670"/>
      <c r="P1" s="673"/>
      <c r="Q1" s="674"/>
      <c r="R1" s="670"/>
      <c r="S1" s="672"/>
      <c r="T1" s="673"/>
      <c r="U1" s="670"/>
      <c r="V1" s="670"/>
      <c r="W1" s="670"/>
      <c r="X1" s="673"/>
      <c r="Y1" s="673"/>
      <c r="Z1" s="673"/>
      <c r="AA1" s="673"/>
      <c r="AB1" s="673"/>
      <c r="AC1" s="673"/>
      <c r="AD1" s="673"/>
      <c r="AE1" s="673"/>
      <c r="AF1" s="673"/>
      <c r="AG1" s="675"/>
      <c r="AH1" s="676"/>
      <c r="AI1" s="676"/>
      <c r="AJ1" s="676"/>
      <c r="AK1" s="676"/>
      <c r="AL1" s="676"/>
      <c r="AM1" s="676"/>
      <c r="AN1" s="676"/>
      <c r="AO1" s="675"/>
      <c r="AP1" s="872"/>
    </row>
    <row r="2" spans="1:46" s="443" customFormat="1" ht="15.75" customHeight="1">
      <c r="A2" s="670"/>
      <c r="B2" s="670"/>
      <c r="C2" s="677"/>
      <c r="D2" s="671"/>
      <c r="E2" s="671"/>
      <c r="F2" s="670"/>
      <c r="G2" s="672"/>
      <c r="H2" s="670"/>
      <c r="I2" s="673"/>
      <c r="J2" s="673"/>
      <c r="K2" s="672"/>
      <c r="L2" s="670"/>
      <c r="M2" s="670"/>
      <c r="N2" s="670"/>
      <c r="O2" s="670"/>
      <c r="P2" s="673"/>
      <c r="Q2" s="674"/>
      <c r="R2" s="670"/>
      <c r="S2" s="672"/>
      <c r="T2" s="673"/>
      <c r="U2" s="670"/>
      <c r="V2" s="670"/>
      <c r="W2" s="678"/>
      <c r="X2" s="679"/>
      <c r="Y2" s="679"/>
      <c r="Z2" s="679"/>
      <c r="AA2" s="679"/>
      <c r="AB2" s="679"/>
      <c r="AC2" s="679"/>
      <c r="AD2" s="679"/>
      <c r="AE2" s="673"/>
      <c r="AF2" s="673"/>
      <c r="AG2" s="675"/>
      <c r="AH2" s="676"/>
      <c r="AI2" s="676"/>
      <c r="AJ2" s="676"/>
      <c r="AK2" s="676"/>
      <c r="AL2" s="676"/>
      <c r="AM2" s="676"/>
      <c r="AN2" s="676"/>
      <c r="AO2" s="675"/>
      <c r="AP2" s="872"/>
    </row>
    <row r="3" spans="1:46" s="443" customFormat="1" ht="18">
      <c r="A3" s="670"/>
      <c r="B3" s="670"/>
      <c r="C3" s="1078"/>
      <c r="D3" s="1078"/>
      <c r="E3" s="680"/>
      <c r="F3" s="870"/>
      <c r="G3" s="870"/>
      <c r="H3" s="670"/>
      <c r="I3" s="673"/>
      <c r="J3" s="673"/>
      <c r="K3" s="672"/>
      <c r="L3" s="670"/>
      <c r="M3" s="670"/>
      <c r="N3" s="670"/>
      <c r="O3" s="670"/>
      <c r="P3" s="679"/>
      <c r="Q3" s="674"/>
      <c r="R3" s="670"/>
      <c r="S3" s="672"/>
      <c r="T3" s="673"/>
      <c r="U3" s="678"/>
      <c r="V3" s="678"/>
      <c r="W3" s="670" t="s">
        <v>43</v>
      </c>
      <c r="X3" s="673"/>
      <c r="Y3" s="673"/>
      <c r="Z3" s="673"/>
      <c r="AA3" s="673"/>
      <c r="AB3" s="673"/>
      <c r="AC3" s="673"/>
      <c r="AD3" s="673"/>
      <c r="AE3" s="673"/>
      <c r="AF3" s="673"/>
      <c r="AG3" s="675"/>
      <c r="AH3" s="676"/>
      <c r="AI3" s="676"/>
      <c r="AJ3" s="676"/>
      <c r="AK3" s="676"/>
      <c r="AL3" s="676"/>
      <c r="AM3" s="676"/>
      <c r="AN3" s="676"/>
      <c r="AO3" s="675"/>
      <c r="AP3" s="872"/>
    </row>
    <row r="4" spans="1:46" s="443" customFormat="1" ht="20.25" customHeight="1">
      <c r="A4" s="670"/>
      <c r="B4" s="670"/>
      <c r="C4" s="670"/>
      <c r="D4" s="671"/>
      <c r="E4" s="671"/>
      <c r="F4" s="670"/>
      <c r="G4" s="672"/>
      <c r="H4" s="670"/>
      <c r="I4" s="673"/>
      <c r="J4" s="673"/>
      <c r="K4" s="681"/>
      <c r="L4" s="670"/>
      <c r="M4" s="670"/>
      <c r="N4" s="670"/>
      <c r="O4" s="670"/>
      <c r="P4" s="673"/>
      <c r="Q4" s="674"/>
      <c r="R4" s="670"/>
      <c r="S4" s="672"/>
      <c r="T4" s="673"/>
      <c r="U4" s="670"/>
      <c r="V4" s="670"/>
      <c r="W4" s="670"/>
      <c r="X4" s="673"/>
      <c r="Y4" s="673"/>
      <c r="Z4" s="673"/>
      <c r="AA4" s="673"/>
      <c r="AB4" s="673"/>
      <c r="AC4" s="673"/>
      <c r="AD4" s="673"/>
      <c r="AE4" s="682"/>
      <c r="AF4" s="682"/>
      <c r="AG4" s="675"/>
      <c r="AH4" s="676"/>
      <c r="AI4" s="676"/>
      <c r="AJ4" s="676"/>
      <c r="AK4" s="676"/>
      <c r="AL4" s="676"/>
      <c r="AM4" s="676"/>
      <c r="AN4" s="676"/>
      <c r="AO4" s="675"/>
      <c r="AP4" s="872"/>
    </row>
    <row r="5" spans="1:46" s="443" customFormat="1" ht="5.25" customHeight="1">
      <c r="A5" s="670"/>
      <c r="B5" s="670"/>
      <c r="C5" s="670"/>
      <c r="D5" s="671"/>
      <c r="E5" s="671"/>
      <c r="F5" s="670"/>
      <c r="G5" s="672"/>
      <c r="H5" s="670"/>
      <c r="I5" s="673"/>
      <c r="J5" s="673"/>
      <c r="K5" s="672"/>
      <c r="L5" s="670"/>
      <c r="M5" s="670"/>
      <c r="N5" s="670"/>
      <c r="O5" s="670"/>
      <c r="P5" s="673"/>
      <c r="Q5" s="674"/>
      <c r="R5" s="670"/>
      <c r="S5" s="672"/>
      <c r="T5" s="673"/>
      <c r="U5" s="670"/>
      <c r="V5" s="670"/>
      <c r="W5" s="670"/>
      <c r="X5" s="673"/>
      <c r="Y5" s="673"/>
      <c r="Z5" s="673"/>
      <c r="AA5" s="673"/>
      <c r="AB5" s="673"/>
      <c r="AC5" s="673"/>
      <c r="AD5" s="673"/>
      <c r="AE5" s="673"/>
      <c r="AF5" s="673"/>
      <c r="AG5" s="675"/>
      <c r="AH5" s="676"/>
      <c r="AI5" s="676"/>
      <c r="AJ5" s="676"/>
      <c r="AK5" s="676"/>
      <c r="AL5" s="676"/>
      <c r="AM5" s="676"/>
      <c r="AN5" s="676"/>
      <c r="AO5" s="675"/>
      <c r="AP5" s="872"/>
    </row>
    <row r="6" spans="1:46" s="443" customFormat="1" ht="19.5" customHeight="1">
      <c r="A6" s="670"/>
      <c r="B6" s="1076" t="s">
        <v>44</v>
      </c>
      <c r="C6" s="1076" t="s">
        <v>45</v>
      </c>
      <c r="D6" s="1079" t="s">
        <v>46</v>
      </c>
      <c r="E6" s="1079" t="s">
        <v>47</v>
      </c>
      <c r="F6" s="1076" t="s">
        <v>48</v>
      </c>
      <c r="G6" s="1076" t="s">
        <v>180</v>
      </c>
      <c r="H6" s="1076" t="s">
        <v>161</v>
      </c>
      <c r="I6" s="1077" t="s">
        <v>1</v>
      </c>
      <c r="J6" s="1077" t="s">
        <v>403</v>
      </c>
      <c r="K6" s="1076" t="s">
        <v>157</v>
      </c>
      <c r="L6" s="1076" t="s">
        <v>159</v>
      </c>
      <c r="M6" s="1076" t="s">
        <v>158</v>
      </c>
      <c r="N6" s="1076" t="s">
        <v>160</v>
      </c>
      <c r="O6" s="670"/>
      <c r="P6" s="1077" t="s">
        <v>395</v>
      </c>
      <c r="Q6" s="1077" t="s">
        <v>130</v>
      </c>
      <c r="R6" s="1076" t="s">
        <v>40</v>
      </c>
      <c r="S6" s="1076"/>
      <c r="T6" s="1077" t="s">
        <v>50</v>
      </c>
      <c r="U6" s="1080" t="s">
        <v>121</v>
      </c>
      <c r="V6" s="670"/>
      <c r="W6" s="1076" t="s">
        <v>537</v>
      </c>
      <c r="X6" s="1076"/>
      <c r="Y6" s="1076"/>
      <c r="Z6" s="1076" t="s">
        <v>540</v>
      </c>
      <c r="AA6" s="1076"/>
      <c r="AB6" s="1076"/>
      <c r="AC6" s="673"/>
      <c r="AD6" s="1076" t="s">
        <v>545</v>
      </c>
      <c r="AE6" s="1076"/>
      <c r="AF6" s="1086" t="s">
        <v>741</v>
      </c>
      <c r="AG6" s="1087"/>
      <c r="AH6" s="1088"/>
      <c r="AI6" s="1077" t="s">
        <v>543</v>
      </c>
      <c r="AJ6" s="1077" t="s">
        <v>396</v>
      </c>
      <c r="AK6" s="676"/>
      <c r="AL6" s="1083" t="s">
        <v>737</v>
      </c>
      <c r="AM6" s="1084"/>
      <c r="AN6" s="1085"/>
      <c r="AO6" s="1082" t="s">
        <v>441</v>
      </c>
      <c r="AP6" s="872"/>
    </row>
    <row r="7" spans="1:46" s="444" customFormat="1" ht="19.5" customHeight="1">
      <c r="A7" s="683"/>
      <c r="B7" s="1076"/>
      <c r="C7" s="1076"/>
      <c r="D7" s="1079"/>
      <c r="E7" s="1079"/>
      <c r="F7" s="1076"/>
      <c r="G7" s="1076"/>
      <c r="H7" s="1076"/>
      <c r="I7" s="1077"/>
      <c r="J7" s="1077"/>
      <c r="K7" s="1076"/>
      <c r="L7" s="1076"/>
      <c r="M7" s="1076"/>
      <c r="N7" s="1076"/>
      <c r="O7" s="670"/>
      <c r="P7" s="1077"/>
      <c r="Q7" s="1077"/>
      <c r="R7" s="1076"/>
      <c r="S7" s="1076"/>
      <c r="T7" s="1077"/>
      <c r="U7" s="1081"/>
      <c r="V7" s="670"/>
      <c r="W7" s="887" t="s">
        <v>538</v>
      </c>
      <c r="X7" s="710" t="s">
        <v>138</v>
      </c>
      <c r="Y7" s="710" t="s">
        <v>539</v>
      </c>
      <c r="Z7" s="710" t="s">
        <v>541</v>
      </c>
      <c r="AA7" s="710" t="s">
        <v>542</v>
      </c>
      <c r="AB7" s="710" t="s">
        <v>138</v>
      </c>
      <c r="AC7" s="673"/>
      <c r="AD7" s="710" t="s">
        <v>538</v>
      </c>
      <c r="AE7" s="710" t="s">
        <v>544</v>
      </c>
      <c r="AF7" s="982" t="s">
        <v>538</v>
      </c>
      <c r="AG7" s="991" t="s">
        <v>740</v>
      </c>
      <c r="AH7" s="991" t="s">
        <v>396</v>
      </c>
      <c r="AI7" s="1077"/>
      <c r="AJ7" s="1077"/>
      <c r="AK7" s="676"/>
      <c r="AL7" s="974" t="s">
        <v>735</v>
      </c>
      <c r="AM7" s="974" t="s">
        <v>471</v>
      </c>
      <c r="AN7" s="974" t="s">
        <v>736</v>
      </c>
      <c r="AO7" s="1082"/>
      <c r="AP7" s="872"/>
    </row>
    <row r="8" spans="1:46" s="445" customFormat="1" ht="17.25" customHeight="1">
      <c r="A8" s="871"/>
      <c r="B8" s="973">
        <v>1</v>
      </c>
      <c r="C8" s="192" t="s">
        <v>298</v>
      </c>
      <c r="D8" s="193" t="s">
        <v>833</v>
      </c>
      <c r="E8" s="268" t="s">
        <v>834</v>
      </c>
      <c r="F8" s="198"/>
      <c r="G8" s="455"/>
      <c r="H8" s="192" t="s">
        <v>128</v>
      </c>
      <c r="I8" s="979">
        <v>31616</v>
      </c>
      <c r="J8" s="882">
        <f>INT((P8-'DataBase (IMO form)'!I8)/365)</f>
        <v>39</v>
      </c>
      <c r="K8" s="192" t="s">
        <v>835</v>
      </c>
      <c r="L8" s="192" t="s">
        <v>836</v>
      </c>
      <c r="M8" s="192" t="s">
        <v>837</v>
      </c>
      <c r="N8" s="196" t="s">
        <v>838</v>
      </c>
      <c r="O8" s="670"/>
      <c r="P8" s="198">
        <v>46030</v>
      </c>
      <c r="Q8" s="456">
        <f>DATE(YEAR(P8),MONTH(P8)+R8,DAY(P8)-1)</f>
        <v>46119</v>
      </c>
      <c r="R8" s="280" t="s">
        <v>168</v>
      </c>
      <c r="S8" s="280" t="s">
        <v>91</v>
      </c>
      <c r="T8" s="266">
        <v>46002</v>
      </c>
      <c r="U8" s="192" t="s">
        <v>829</v>
      </c>
      <c r="V8" s="670"/>
      <c r="W8" s="192" t="s">
        <v>839</v>
      </c>
      <c r="X8" s="198">
        <v>46330</v>
      </c>
      <c r="Y8" s="192" t="s">
        <v>840</v>
      </c>
      <c r="Z8" s="192" t="s">
        <v>852</v>
      </c>
      <c r="AA8" s="192" t="s">
        <v>853</v>
      </c>
      <c r="AB8" s="883">
        <v>46754</v>
      </c>
      <c r="AC8" s="673"/>
      <c r="AD8" s="1011" t="s">
        <v>841</v>
      </c>
      <c r="AE8" s="194">
        <v>48277</v>
      </c>
      <c r="AF8" s="194" t="s">
        <v>854</v>
      </c>
      <c r="AG8" s="244">
        <v>46896</v>
      </c>
      <c r="AH8" s="457" t="s">
        <v>397</v>
      </c>
      <c r="AI8" s="456">
        <v>46419</v>
      </c>
      <c r="AJ8" s="457" t="s">
        <v>397</v>
      </c>
      <c r="AK8" s="676"/>
      <c r="AL8" s="193"/>
      <c r="AM8" s="193"/>
      <c r="AN8" s="193"/>
      <c r="AO8" s="193" t="s">
        <v>855</v>
      </c>
      <c r="AP8" s="872"/>
      <c r="AS8" s="446" t="s">
        <v>879</v>
      </c>
      <c r="AT8" s="446" t="s">
        <v>397</v>
      </c>
    </row>
    <row r="9" spans="1:46" s="447" customFormat="1" ht="17.25" customHeight="1">
      <c r="A9" s="872"/>
      <c r="B9" s="973">
        <v>2</v>
      </c>
      <c r="C9" s="192" t="s">
        <v>486</v>
      </c>
      <c r="D9" s="268" t="s">
        <v>963</v>
      </c>
      <c r="E9" s="268" t="s">
        <v>964</v>
      </c>
      <c r="F9" s="266"/>
      <c r="G9" s="458"/>
      <c r="H9" s="267" t="s">
        <v>128</v>
      </c>
      <c r="I9" s="980">
        <v>34373</v>
      </c>
      <c r="J9" s="882">
        <f>INT((P9-'DataBase (IMO form)'!I9)/365)</f>
        <v>32</v>
      </c>
      <c r="K9" s="267" t="s">
        <v>965</v>
      </c>
      <c r="L9" s="192" t="s">
        <v>284</v>
      </c>
      <c r="M9" s="192" t="s">
        <v>232</v>
      </c>
      <c r="N9" s="196" t="s">
        <v>233</v>
      </c>
      <c r="O9" s="670"/>
      <c r="P9" s="198">
        <v>46081</v>
      </c>
      <c r="Q9" s="456">
        <f t="shared" ref="Q9:Q11" si="0">DATE(YEAR(P9),MONTH(P9)+R9,DAY(P9)-1)</f>
        <v>46169</v>
      </c>
      <c r="R9" s="280" t="s">
        <v>168</v>
      </c>
      <c r="S9" s="280" t="s">
        <v>91</v>
      </c>
      <c r="T9" s="198">
        <v>46081</v>
      </c>
      <c r="U9" s="267" t="s">
        <v>966</v>
      </c>
      <c r="V9" s="670"/>
      <c r="W9" s="267" t="s">
        <v>984</v>
      </c>
      <c r="X9" s="269">
        <v>49542</v>
      </c>
      <c r="Y9" s="881" t="s">
        <v>965</v>
      </c>
      <c r="Z9" s="881"/>
      <c r="AA9" s="881"/>
      <c r="AB9" s="884"/>
      <c r="AC9" s="673"/>
      <c r="AD9" s="1011" t="s">
        <v>1001</v>
      </c>
      <c r="AE9" s="263" t="s">
        <v>225</v>
      </c>
      <c r="AF9" s="263"/>
      <c r="AG9" s="264"/>
      <c r="AH9" s="457" t="s">
        <v>397</v>
      </c>
      <c r="AI9" s="456"/>
      <c r="AJ9" s="457" t="s">
        <v>397</v>
      </c>
      <c r="AK9" s="676"/>
      <c r="AL9" s="193"/>
      <c r="AM9" s="193"/>
      <c r="AN9" s="193"/>
      <c r="AO9" s="193"/>
      <c r="AP9" s="872"/>
      <c r="AS9" s="446" t="s">
        <v>398</v>
      </c>
      <c r="AT9" s="446" t="s">
        <v>398</v>
      </c>
    </row>
    <row r="10" spans="1:46" s="447" customFormat="1" ht="17.25" customHeight="1">
      <c r="A10" s="872"/>
      <c r="B10" s="973">
        <v>3</v>
      </c>
      <c r="C10" s="192" t="s">
        <v>969</v>
      </c>
      <c r="D10" s="268" t="s">
        <v>967</v>
      </c>
      <c r="E10" s="268" t="s">
        <v>968</v>
      </c>
      <c r="F10" s="266"/>
      <c r="G10" s="458"/>
      <c r="H10" s="267" t="s">
        <v>128</v>
      </c>
      <c r="I10" s="980">
        <v>32970</v>
      </c>
      <c r="J10" s="882">
        <f>INT((P10-'DataBase (IMO form)'!I10)/365)</f>
        <v>35</v>
      </c>
      <c r="K10" s="267" t="s">
        <v>970</v>
      </c>
      <c r="L10" s="192" t="s">
        <v>518</v>
      </c>
      <c r="M10" s="192" t="s">
        <v>519</v>
      </c>
      <c r="N10" s="196" t="s">
        <v>521</v>
      </c>
      <c r="O10" s="670"/>
      <c r="P10" s="198">
        <v>46081</v>
      </c>
      <c r="Q10" s="456">
        <f t="shared" ref="Q10" si="1">DATE(YEAR(P10),MONTH(P10)+R10,DAY(P10)-1)</f>
        <v>46200</v>
      </c>
      <c r="R10" s="280" t="s">
        <v>745</v>
      </c>
      <c r="S10" s="280" t="s">
        <v>91</v>
      </c>
      <c r="T10" s="198">
        <v>46081</v>
      </c>
      <c r="U10" s="267" t="s">
        <v>966</v>
      </c>
      <c r="V10" s="670"/>
      <c r="W10" s="267" t="s">
        <v>991</v>
      </c>
      <c r="X10" s="269">
        <v>47775</v>
      </c>
      <c r="Y10" s="269" t="s">
        <v>959</v>
      </c>
      <c r="Z10" s="881"/>
      <c r="AA10" s="881"/>
      <c r="AB10" s="884"/>
      <c r="AC10" s="673"/>
      <c r="AD10" s="1011">
        <v>86891</v>
      </c>
      <c r="AE10" s="263" t="s">
        <v>225</v>
      </c>
      <c r="AF10" s="263"/>
      <c r="AG10" s="264"/>
      <c r="AH10" s="457" t="s">
        <v>397</v>
      </c>
      <c r="AI10" s="456"/>
      <c r="AJ10" s="457" t="s">
        <v>397</v>
      </c>
      <c r="AK10" s="676"/>
      <c r="AL10" s="193"/>
      <c r="AM10" s="193"/>
      <c r="AN10" s="193"/>
      <c r="AO10" s="193"/>
      <c r="AP10" s="872"/>
      <c r="AS10" s="446"/>
      <c r="AT10" s="446"/>
    </row>
    <row r="11" spans="1:46" s="446" customFormat="1" ht="16.899999999999999" customHeight="1">
      <c r="A11" s="872"/>
      <c r="B11" s="973">
        <v>4</v>
      </c>
      <c r="C11" s="192" t="s">
        <v>487</v>
      </c>
      <c r="D11" s="193" t="s">
        <v>869</v>
      </c>
      <c r="E11" s="193" t="s">
        <v>870</v>
      </c>
      <c r="F11" s="193"/>
      <c r="G11" s="455"/>
      <c r="H11" s="267" t="s">
        <v>128</v>
      </c>
      <c r="I11" s="979">
        <v>31971</v>
      </c>
      <c r="J11" s="882">
        <f>INT((P11-'DataBase (IMO form)'!I11)/365)</f>
        <v>38</v>
      </c>
      <c r="K11" s="192" t="s">
        <v>513</v>
      </c>
      <c r="L11" s="192" t="s">
        <v>517</v>
      </c>
      <c r="M11" s="192" t="s">
        <v>513</v>
      </c>
      <c r="N11" s="196" t="s">
        <v>520</v>
      </c>
      <c r="O11" s="670"/>
      <c r="P11" s="198">
        <v>46033</v>
      </c>
      <c r="Q11" s="456">
        <f t="shared" si="0"/>
        <v>46122</v>
      </c>
      <c r="R11" s="197" t="s">
        <v>168</v>
      </c>
      <c r="S11" s="280" t="s">
        <v>91</v>
      </c>
      <c r="T11" s="266">
        <v>46035</v>
      </c>
      <c r="U11" s="267" t="s">
        <v>871</v>
      </c>
      <c r="V11" s="670"/>
      <c r="W11" s="192" t="s">
        <v>872</v>
      </c>
      <c r="X11" s="198">
        <v>49422</v>
      </c>
      <c r="Y11" s="192" t="s">
        <v>873</v>
      </c>
      <c r="Z11" s="192" t="s">
        <v>887</v>
      </c>
      <c r="AA11" s="192" t="s">
        <v>888</v>
      </c>
      <c r="AB11" s="883">
        <v>47743</v>
      </c>
      <c r="AC11" s="673"/>
      <c r="AD11" s="1011">
        <v>8600199276</v>
      </c>
      <c r="AE11" s="194">
        <v>49120</v>
      </c>
      <c r="AF11" s="194" t="s">
        <v>886</v>
      </c>
      <c r="AG11" s="244">
        <v>46643</v>
      </c>
      <c r="AH11" s="457" t="s">
        <v>397</v>
      </c>
      <c r="AI11" s="456">
        <v>47306</v>
      </c>
      <c r="AJ11" s="457" t="s">
        <v>397</v>
      </c>
      <c r="AK11" s="676"/>
      <c r="AL11" s="193"/>
      <c r="AM11" s="193"/>
      <c r="AN11" s="193"/>
      <c r="AO11" s="193" t="s">
        <v>892</v>
      </c>
      <c r="AP11" s="872"/>
      <c r="AS11" s="447" t="s">
        <v>475</v>
      </c>
      <c r="AT11" s="447" t="s">
        <v>475</v>
      </c>
    </row>
    <row r="12" spans="1:46" s="445" customFormat="1" ht="17.25" customHeight="1">
      <c r="A12" s="872" t="s">
        <v>363</v>
      </c>
      <c r="B12" s="973">
        <v>5</v>
      </c>
      <c r="C12" s="192" t="s">
        <v>488</v>
      </c>
      <c r="D12" s="193" t="s">
        <v>950</v>
      </c>
      <c r="E12" s="193" t="s">
        <v>949</v>
      </c>
      <c r="F12" s="198"/>
      <c r="G12" s="459"/>
      <c r="H12" s="267" t="s">
        <v>128</v>
      </c>
      <c r="I12" s="979">
        <v>37225</v>
      </c>
      <c r="J12" s="882">
        <f>INT((P12-'DataBase (IMO form)'!I12)/365)</f>
        <v>24</v>
      </c>
      <c r="K12" s="192" t="s">
        <v>954</v>
      </c>
      <c r="L12" s="192" t="s">
        <v>284</v>
      </c>
      <c r="M12" s="192" t="s">
        <v>232</v>
      </c>
      <c r="N12" s="196" t="s">
        <v>233</v>
      </c>
      <c r="O12" s="670"/>
      <c r="P12" s="198">
        <v>46063</v>
      </c>
      <c r="Q12" s="456">
        <f>DATE(YEAR(P12),MONTH(P12)+R12,DAY(P12)-1)</f>
        <v>46151</v>
      </c>
      <c r="R12" s="197" t="s">
        <v>168</v>
      </c>
      <c r="S12" s="197" t="s">
        <v>91</v>
      </c>
      <c r="T12" s="266">
        <v>46063</v>
      </c>
      <c r="U12" s="267" t="s">
        <v>951</v>
      </c>
      <c r="V12" s="670"/>
      <c r="W12" s="192" t="s">
        <v>955</v>
      </c>
      <c r="X12" s="198">
        <v>48562</v>
      </c>
      <c r="Y12" s="198" t="s">
        <v>419</v>
      </c>
      <c r="Z12" s="881"/>
      <c r="AA12" s="881"/>
      <c r="AB12" s="883"/>
      <c r="AC12" s="673"/>
      <c r="AD12" s="1011" t="s">
        <v>957</v>
      </c>
      <c r="AE12" s="194" t="s">
        <v>225</v>
      </c>
      <c r="AF12" s="194" t="s">
        <v>956</v>
      </c>
      <c r="AG12" s="264">
        <v>46870</v>
      </c>
      <c r="AH12" s="457" t="s">
        <v>397</v>
      </c>
      <c r="AI12" s="456"/>
      <c r="AJ12" s="457" t="s">
        <v>397</v>
      </c>
      <c r="AK12" s="676"/>
      <c r="AL12" s="867"/>
      <c r="AM12" s="867"/>
      <c r="AN12" s="867"/>
      <c r="AO12" s="193" t="s">
        <v>814</v>
      </c>
      <c r="AP12" s="872"/>
      <c r="AS12" s="446" t="s">
        <v>115</v>
      </c>
      <c r="AT12" s="446" t="s">
        <v>115</v>
      </c>
    </row>
    <row r="13" spans="1:46" s="446" customFormat="1" ht="17.25" customHeight="1">
      <c r="A13" s="872"/>
      <c r="B13" s="973">
        <v>6</v>
      </c>
      <c r="C13" s="192" t="s">
        <v>747</v>
      </c>
      <c r="D13" s="268" t="s">
        <v>898</v>
      </c>
      <c r="E13" s="268" t="s">
        <v>899</v>
      </c>
      <c r="F13" s="266"/>
      <c r="G13" s="458"/>
      <c r="H13" s="267" t="s">
        <v>128</v>
      </c>
      <c r="I13" s="981">
        <v>36547</v>
      </c>
      <c r="J13" s="882">
        <f>INT((P13-'DataBase (IMO form)'!I13)/365)</f>
        <v>26</v>
      </c>
      <c r="K13" s="267" t="s">
        <v>900</v>
      </c>
      <c r="L13" s="192" t="s">
        <v>284</v>
      </c>
      <c r="M13" s="192" t="s">
        <v>901</v>
      </c>
      <c r="N13" s="196" t="s">
        <v>233</v>
      </c>
      <c r="O13" s="670"/>
      <c r="P13" s="198">
        <v>46042</v>
      </c>
      <c r="Q13" s="456">
        <f>DATE(YEAR(P13),MONTH(P13)+R13,DAY(P13)-1)</f>
        <v>46131</v>
      </c>
      <c r="R13" s="197" t="s">
        <v>168</v>
      </c>
      <c r="S13" s="280" t="s">
        <v>91</v>
      </c>
      <c r="T13" s="220">
        <v>46042</v>
      </c>
      <c r="U13" s="267" t="s">
        <v>902</v>
      </c>
      <c r="V13" s="670"/>
      <c r="W13" s="267" t="s">
        <v>903</v>
      </c>
      <c r="X13" s="266">
        <v>48777</v>
      </c>
      <c r="Y13" s="267" t="s">
        <v>419</v>
      </c>
      <c r="Z13" s="267" t="s">
        <v>904</v>
      </c>
      <c r="AA13" s="267" t="s">
        <v>905</v>
      </c>
      <c r="AB13" s="885">
        <v>47188</v>
      </c>
      <c r="AC13" s="673"/>
      <c r="AD13" s="1011" t="s">
        <v>906</v>
      </c>
      <c r="AE13" s="263" t="s">
        <v>225</v>
      </c>
      <c r="AF13" s="263" t="s">
        <v>930</v>
      </c>
      <c r="AG13" s="264">
        <v>47003</v>
      </c>
      <c r="AH13" s="457" t="s">
        <v>397</v>
      </c>
      <c r="AI13" s="456"/>
      <c r="AJ13" s="457"/>
      <c r="AK13" s="676"/>
      <c r="AL13" s="193"/>
      <c r="AM13" s="193"/>
      <c r="AN13" s="193"/>
      <c r="AO13" s="193" t="s">
        <v>814</v>
      </c>
      <c r="AP13" s="872"/>
      <c r="AS13" s="445"/>
    </row>
    <row r="14" spans="1:46" s="446" customFormat="1" ht="17.25" customHeight="1">
      <c r="A14" s="872"/>
      <c r="B14" s="973">
        <v>7</v>
      </c>
      <c r="C14" s="192" t="s">
        <v>421</v>
      </c>
      <c r="D14" s="268" t="s">
        <v>907</v>
      </c>
      <c r="E14" s="268" t="s">
        <v>908</v>
      </c>
      <c r="F14" s="266"/>
      <c r="G14" s="458"/>
      <c r="H14" s="267" t="s">
        <v>506</v>
      </c>
      <c r="I14" s="981">
        <v>37644</v>
      </c>
      <c r="J14" s="882">
        <f>INT((P14-'DataBase (IMO form)'!I14)/365)</f>
        <v>23</v>
      </c>
      <c r="K14" s="267" t="s">
        <v>909</v>
      </c>
      <c r="L14" s="192" t="s">
        <v>284</v>
      </c>
      <c r="M14" s="192" t="s">
        <v>232</v>
      </c>
      <c r="N14" s="196" t="s">
        <v>233</v>
      </c>
      <c r="O14" s="670"/>
      <c r="P14" s="198">
        <v>46042</v>
      </c>
      <c r="Q14" s="456">
        <f>DATE(YEAR(P14),MONTH(P14)+R14,DAY(P14)-1)</f>
        <v>46131</v>
      </c>
      <c r="R14" s="197" t="s">
        <v>168</v>
      </c>
      <c r="S14" s="280" t="s">
        <v>91</v>
      </c>
      <c r="T14" s="220">
        <v>46042</v>
      </c>
      <c r="U14" s="267" t="s">
        <v>902</v>
      </c>
      <c r="V14" s="670"/>
      <c r="W14" s="267" t="s">
        <v>910</v>
      </c>
      <c r="X14" s="266">
        <v>46511</v>
      </c>
      <c r="Y14" s="267" t="s">
        <v>419</v>
      </c>
      <c r="Z14" s="267" t="s">
        <v>911</v>
      </c>
      <c r="AA14" s="267" t="s">
        <v>912</v>
      </c>
      <c r="AB14" s="885">
        <v>49618</v>
      </c>
      <c r="AC14" s="673"/>
      <c r="AD14" s="1011" t="s">
        <v>913</v>
      </c>
      <c r="AE14" s="263" t="s">
        <v>225</v>
      </c>
      <c r="AF14" s="263" t="s">
        <v>931</v>
      </c>
      <c r="AG14" s="264">
        <v>47560</v>
      </c>
      <c r="AH14" s="457" t="s">
        <v>397</v>
      </c>
      <c r="AI14" s="456"/>
      <c r="AJ14" s="457"/>
      <c r="AK14" s="676"/>
      <c r="AL14" s="193"/>
      <c r="AM14" s="193"/>
      <c r="AN14" s="193"/>
      <c r="AO14" s="193" t="s">
        <v>929</v>
      </c>
      <c r="AP14" s="872"/>
    </row>
    <row r="15" spans="1:46" s="446" customFormat="1" ht="17.25" customHeight="1">
      <c r="A15" s="872" t="s">
        <v>362</v>
      </c>
      <c r="B15" s="973">
        <v>8</v>
      </c>
      <c r="C15" s="192" t="s">
        <v>489</v>
      </c>
      <c r="D15" s="195" t="s">
        <v>847</v>
      </c>
      <c r="E15" s="195" t="s">
        <v>842</v>
      </c>
      <c r="F15" s="198"/>
      <c r="G15" s="193"/>
      <c r="H15" s="267" t="s">
        <v>128</v>
      </c>
      <c r="I15" s="979">
        <v>24483</v>
      </c>
      <c r="J15" s="882">
        <f>INT((P15-'DataBase (IMO form)'!I15)/365)</f>
        <v>58</v>
      </c>
      <c r="K15" s="192" t="s">
        <v>848</v>
      </c>
      <c r="L15" s="192" t="s">
        <v>284</v>
      </c>
      <c r="M15" s="192" t="s">
        <v>232</v>
      </c>
      <c r="N15" s="196" t="s">
        <v>233</v>
      </c>
      <c r="O15" s="670"/>
      <c r="P15" s="198">
        <v>46005</v>
      </c>
      <c r="Q15" s="456">
        <f t="shared" ref="Q15:Q23" si="2">DATE(YEAR(P15),MONTH(P15)+R15,DAY(P15)-1)</f>
        <v>46094</v>
      </c>
      <c r="R15" s="197" t="s">
        <v>168</v>
      </c>
      <c r="S15" s="197" t="s">
        <v>91</v>
      </c>
      <c r="T15" s="266">
        <v>46006</v>
      </c>
      <c r="U15" s="267" t="s">
        <v>851</v>
      </c>
      <c r="V15" s="670"/>
      <c r="W15" s="192" t="s">
        <v>849</v>
      </c>
      <c r="X15" s="198">
        <v>49133</v>
      </c>
      <c r="Y15" s="192" t="s">
        <v>525</v>
      </c>
      <c r="Z15" s="192" t="s">
        <v>857</v>
      </c>
      <c r="AA15" s="192" t="s">
        <v>858</v>
      </c>
      <c r="AB15" s="883">
        <v>49325</v>
      </c>
      <c r="AC15" s="673"/>
      <c r="AD15" s="1011" t="s">
        <v>850</v>
      </c>
      <c r="AE15" s="194">
        <v>46683</v>
      </c>
      <c r="AF15" s="194" t="s">
        <v>859</v>
      </c>
      <c r="AG15" s="264">
        <v>46488</v>
      </c>
      <c r="AH15" s="457" t="s">
        <v>397</v>
      </c>
      <c r="AI15" s="456">
        <v>46345</v>
      </c>
      <c r="AJ15" s="457" t="s">
        <v>397</v>
      </c>
      <c r="AK15" s="676"/>
      <c r="AL15" s="193"/>
      <c r="AM15" s="193"/>
      <c r="AN15" s="193"/>
      <c r="AO15" s="193" t="s">
        <v>863</v>
      </c>
      <c r="AP15" s="872"/>
    </row>
    <row r="16" spans="1:46" s="446" customFormat="1" ht="17.25" customHeight="1">
      <c r="A16" s="872" t="s">
        <v>362</v>
      </c>
      <c r="B16" s="973">
        <v>9</v>
      </c>
      <c r="C16" s="192" t="s">
        <v>490</v>
      </c>
      <c r="D16" s="195" t="s">
        <v>780</v>
      </c>
      <c r="E16" s="195" t="s">
        <v>781</v>
      </c>
      <c r="F16" s="198"/>
      <c r="G16" s="193"/>
      <c r="H16" s="267" t="s">
        <v>128</v>
      </c>
      <c r="I16" s="979">
        <v>32852</v>
      </c>
      <c r="J16" s="882">
        <f>INT((P16-'DataBase (IMO form)'!I16)/365)</f>
        <v>35</v>
      </c>
      <c r="K16" s="192" t="s">
        <v>783</v>
      </c>
      <c r="L16" s="192" t="s">
        <v>782</v>
      </c>
      <c r="M16" s="192" t="s">
        <v>513</v>
      </c>
      <c r="N16" s="196" t="s">
        <v>520</v>
      </c>
      <c r="O16" s="670"/>
      <c r="P16" s="198">
        <v>45979</v>
      </c>
      <c r="Q16" s="456">
        <f t="shared" si="2"/>
        <v>46070</v>
      </c>
      <c r="R16" s="197" t="s">
        <v>168</v>
      </c>
      <c r="S16" s="197" t="s">
        <v>91</v>
      </c>
      <c r="T16" s="266">
        <v>45980</v>
      </c>
      <c r="U16" s="267" t="s">
        <v>779</v>
      </c>
      <c r="V16" s="670"/>
      <c r="W16" s="192" t="s">
        <v>784</v>
      </c>
      <c r="X16" s="198">
        <v>48424</v>
      </c>
      <c r="Y16" s="192" t="s">
        <v>785</v>
      </c>
      <c r="Z16" s="192" t="s">
        <v>786</v>
      </c>
      <c r="AA16" s="192" t="s">
        <v>787</v>
      </c>
      <c r="AB16" s="883">
        <v>47701</v>
      </c>
      <c r="AC16" s="673"/>
      <c r="AD16" s="1011" t="s">
        <v>788</v>
      </c>
      <c r="AE16" s="194">
        <v>46128</v>
      </c>
      <c r="AF16" s="194" t="s">
        <v>934</v>
      </c>
      <c r="AG16" s="264">
        <v>47798</v>
      </c>
      <c r="AH16" s="457" t="s">
        <v>397</v>
      </c>
      <c r="AI16" s="456">
        <v>46064</v>
      </c>
      <c r="AJ16" s="457" t="s">
        <v>398</v>
      </c>
      <c r="AK16" s="676"/>
      <c r="AL16" s="193"/>
      <c r="AM16" s="193"/>
      <c r="AN16" s="193"/>
      <c r="AO16" s="193" t="s">
        <v>810</v>
      </c>
      <c r="AP16" s="872"/>
    </row>
    <row r="17" spans="1:46" s="445" customFormat="1" ht="17.25" customHeight="1">
      <c r="A17" s="872"/>
      <c r="B17" s="973">
        <v>10</v>
      </c>
      <c r="C17" s="192" t="s">
        <v>491</v>
      </c>
      <c r="D17" s="193" t="s">
        <v>874</v>
      </c>
      <c r="E17" s="193" t="s">
        <v>875</v>
      </c>
      <c r="F17" s="198"/>
      <c r="G17" s="455"/>
      <c r="H17" s="267" t="s">
        <v>128</v>
      </c>
      <c r="I17" s="979">
        <v>35418</v>
      </c>
      <c r="J17" s="882">
        <f>INT((P17-'DataBase (IMO form)'!I17)/365)</f>
        <v>29</v>
      </c>
      <c r="K17" s="192" t="s">
        <v>513</v>
      </c>
      <c r="L17" s="192" t="s">
        <v>517</v>
      </c>
      <c r="M17" s="192" t="s">
        <v>513</v>
      </c>
      <c r="N17" s="196" t="s">
        <v>520</v>
      </c>
      <c r="O17" s="670"/>
      <c r="P17" s="198">
        <v>46033</v>
      </c>
      <c r="Q17" s="456">
        <f t="shared" si="2"/>
        <v>46122</v>
      </c>
      <c r="R17" s="197" t="s">
        <v>168</v>
      </c>
      <c r="S17" s="197" t="s">
        <v>91</v>
      </c>
      <c r="T17" s="266">
        <v>46035</v>
      </c>
      <c r="U17" s="267" t="s">
        <v>871</v>
      </c>
      <c r="V17" s="670"/>
      <c r="W17" s="192" t="s">
        <v>876</v>
      </c>
      <c r="X17" s="198">
        <v>46978</v>
      </c>
      <c r="Y17" s="192" t="s">
        <v>877</v>
      </c>
      <c r="Z17" s="192" t="s">
        <v>896</v>
      </c>
      <c r="AA17" s="881" t="s">
        <v>897</v>
      </c>
      <c r="AB17" s="883">
        <v>46753</v>
      </c>
      <c r="AC17" s="673"/>
      <c r="AD17" s="1011" t="s">
        <v>878</v>
      </c>
      <c r="AE17" s="194">
        <v>47308</v>
      </c>
      <c r="AF17" s="194" t="s">
        <v>895</v>
      </c>
      <c r="AG17" s="264">
        <v>46091</v>
      </c>
      <c r="AH17" s="457" t="s">
        <v>397</v>
      </c>
      <c r="AI17" s="456">
        <v>47093</v>
      </c>
      <c r="AJ17" s="457" t="s">
        <v>397</v>
      </c>
      <c r="AK17" s="676"/>
      <c r="AL17" s="193"/>
      <c r="AM17" s="193"/>
      <c r="AN17" s="193"/>
      <c r="AO17" s="193" t="s">
        <v>893</v>
      </c>
      <c r="AP17" s="872"/>
      <c r="AS17" s="446"/>
      <c r="AT17" s="446"/>
    </row>
    <row r="18" spans="1:46" s="446" customFormat="1" ht="17.25" customHeight="1">
      <c r="A18" s="872"/>
      <c r="B18" s="973">
        <v>11</v>
      </c>
      <c r="C18" s="192" t="s">
        <v>491</v>
      </c>
      <c r="D18" s="193" t="s">
        <v>952</v>
      </c>
      <c r="E18" s="193" t="s">
        <v>953</v>
      </c>
      <c r="F18" s="198"/>
      <c r="G18" s="455"/>
      <c r="H18" s="267" t="s">
        <v>128</v>
      </c>
      <c r="I18" s="979">
        <v>33966</v>
      </c>
      <c r="J18" s="882">
        <f>INT((P18-'DataBase (IMO form)'!I18)/365)</f>
        <v>33</v>
      </c>
      <c r="K18" s="192" t="s">
        <v>959</v>
      </c>
      <c r="L18" s="192" t="s">
        <v>518</v>
      </c>
      <c r="M18" s="192" t="s">
        <v>519</v>
      </c>
      <c r="N18" s="196" t="s">
        <v>521</v>
      </c>
      <c r="O18" s="670"/>
      <c r="P18" s="198">
        <v>46063</v>
      </c>
      <c r="Q18" s="456">
        <f t="shared" ref="Q18" si="3">DATE(YEAR(P18),MONTH(P18)+R18,DAY(P18)-1)</f>
        <v>46151</v>
      </c>
      <c r="R18" s="197" t="s">
        <v>168</v>
      </c>
      <c r="S18" s="197" t="s">
        <v>91</v>
      </c>
      <c r="T18" s="266">
        <v>45912</v>
      </c>
      <c r="U18" s="267" t="s">
        <v>951</v>
      </c>
      <c r="V18" s="670"/>
      <c r="W18" s="881" t="s">
        <v>958</v>
      </c>
      <c r="X18" s="198">
        <v>48638</v>
      </c>
      <c r="Y18" s="192" t="s">
        <v>959</v>
      </c>
      <c r="Z18" s="192"/>
      <c r="AA18" s="192"/>
      <c r="AB18" s="883"/>
      <c r="AC18" s="673"/>
      <c r="AD18" s="1011" t="s">
        <v>996</v>
      </c>
      <c r="AE18" s="194">
        <v>46583</v>
      </c>
      <c r="AF18" s="194"/>
      <c r="AG18" s="244"/>
      <c r="AH18" s="457" t="s">
        <v>397</v>
      </c>
      <c r="AI18" s="456"/>
      <c r="AJ18" s="457" t="s">
        <v>397</v>
      </c>
      <c r="AK18" s="676"/>
      <c r="AL18" s="193"/>
      <c r="AM18" s="193"/>
      <c r="AN18" s="193"/>
      <c r="AO18" s="193" t="s">
        <v>821</v>
      </c>
      <c r="AP18" s="872"/>
      <c r="AS18" s="445"/>
      <c r="AT18" s="445"/>
    </row>
    <row r="19" spans="1:46" s="446" customFormat="1" ht="17.25" customHeight="1">
      <c r="A19" s="872"/>
      <c r="B19" s="973">
        <v>12</v>
      </c>
      <c r="C19" s="192" t="s">
        <v>492</v>
      </c>
      <c r="D19" s="193" t="s">
        <v>921</v>
      </c>
      <c r="E19" s="193" t="s">
        <v>922</v>
      </c>
      <c r="F19" s="198"/>
      <c r="G19" s="455"/>
      <c r="H19" s="267" t="s">
        <v>128</v>
      </c>
      <c r="I19" s="979">
        <v>37555</v>
      </c>
      <c r="J19" s="882">
        <f>INT((P19-'DataBase (IMO form)'!I19)/365)</f>
        <v>23</v>
      </c>
      <c r="K19" s="192" t="s">
        <v>848</v>
      </c>
      <c r="L19" s="192" t="s">
        <v>284</v>
      </c>
      <c r="M19" s="192" t="s">
        <v>232</v>
      </c>
      <c r="N19" s="196" t="s">
        <v>233</v>
      </c>
      <c r="O19" s="670"/>
      <c r="P19" s="198">
        <v>46042</v>
      </c>
      <c r="Q19" s="456">
        <f>DATE(YEAR(P19),MONTH(P19)+R19,DAY(P19)-1)</f>
        <v>46072</v>
      </c>
      <c r="R19" s="197" t="s">
        <v>774</v>
      </c>
      <c r="S19" s="197" t="s">
        <v>91</v>
      </c>
      <c r="T19" s="220">
        <v>46042</v>
      </c>
      <c r="U19" s="267" t="s">
        <v>902</v>
      </c>
      <c r="V19" s="670"/>
      <c r="W19" s="192" t="s">
        <v>923</v>
      </c>
      <c r="X19" s="198">
        <v>49626</v>
      </c>
      <c r="Y19" s="192" t="s">
        <v>525</v>
      </c>
      <c r="Z19" s="192" t="s">
        <v>924</v>
      </c>
      <c r="AA19" s="192" t="s">
        <v>925</v>
      </c>
      <c r="AB19" s="883">
        <v>49364</v>
      </c>
      <c r="AC19" s="673"/>
      <c r="AD19" s="1011" t="s">
        <v>926</v>
      </c>
      <c r="AE19" s="194" t="s">
        <v>225</v>
      </c>
      <c r="AF19" s="194" t="s">
        <v>933</v>
      </c>
      <c r="AG19" s="244">
        <v>47203</v>
      </c>
      <c r="AH19" s="457" t="s">
        <v>397</v>
      </c>
      <c r="AI19" s="456"/>
      <c r="AJ19" s="457"/>
      <c r="AK19" s="676"/>
      <c r="AL19" s="193"/>
      <c r="AM19" s="193"/>
      <c r="AN19" s="193"/>
      <c r="AO19" s="193" t="s">
        <v>811</v>
      </c>
      <c r="AP19" s="872"/>
      <c r="AS19" s="445"/>
      <c r="AT19" s="445"/>
    </row>
    <row r="20" spans="1:46" s="446" customFormat="1" ht="17.25" customHeight="1">
      <c r="A20" s="872"/>
      <c r="B20" s="973">
        <v>13</v>
      </c>
      <c r="C20" s="192" t="s">
        <v>493</v>
      </c>
      <c r="D20" s="193" t="s">
        <v>880</v>
      </c>
      <c r="E20" s="193" t="s">
        <v>881</v>
      </c>
      <c r="F20" s="198"/>
      <c r="G20" s="455"/>
      <c r="H20" s="267" t="s">
        <v>128</v>
      </c>
      <c r="I20" s="979">
        <v>32955</v>
      </c>
      <c r="J20" s="882">
        <f>INT((P20-'DataBase (IMO form)'!I20)/365)</f>
        <v>35</v>
      </c>
      <c r="K20" s="192" t="s">
        <v>513</v>
      </c>
      <c r="L20" s="192" t="s">
        <v>517</v>
      </c>
      <c r="M20" s="192" t="s">
        <v>513</v>
      </c>
      <c r="N20" s="196" t="s">
        <v>520</v>
      </c>
      <c r="O20" s="670"/>
      <c r="P20" s="198">
        <v>46035</v>
      </c>
      <c r="Q20" s="456">
        <f t="shared" si="2"/>
        <v>46124</v>
      </c>
      <c r="R20" s="197" t="s">
        <v>168</v>
      </c>
      <c r="S20" s="197" t="s">
        <v>91</v>
      </c>
      <c r="T20" s="266">
        <v>46035</v>
      </c>
      <c r="U20" s="267" t="s">
        <v>871</v>
      </c>
      <c r="V20" s="670"/>
      <c r="W20" s="192" t="s">
        <v>882</v>
      </c>
      <c r="X20" s="198">
        <v>46699</v>
      </c>
      <c r="Y20" s="192" t="s">
        <v>883</v>
      </c>
      <c r="Z20" s="192" t="s">
        <v>889</v>
      </c>
      <c r="AA20" s="192" t="s">
        <v>890</v>
      </c>
      <c r="AB20" s="883">
        <v>46711</v>
      </c>
      <c r="AC20" s="673"/>
      <c r="AD20" s="881" t="s">
        <v>884</v>
      </c>
      <c r="AE20" s="194">
        <v>46685</v>
      </c>
      <c r="AF20" s="194" t="s">
        <v>891</v>
      </c>
      <c r="AG20" s="244">
        <v>46741</v>
      </c>
      <c r="AH20" s="457" t="s">
        <v>397</v>
      </c>
      <c r="AI20" s="456">
        <v>47468</v>
      </c>
      <c r="AJ20" s="457" t="s">
        <v>397</v>
      </c>
      <c r="AK20" s="676"/>
      <c r="AL20" s="193"/>
      <c r="AM20" s="193"/>
      <c r="AN20" s="193"/>
      <c r="AO20" s="193" t="s">
        <v>894</v>
      </c>
      <c r="AP20" s="872"/>
    </row>
    <row r="21" spans="1:46" s="446" customFormat="1" ht="17.25" customHeight="1">
      <c r="A21" s="872"/>
      <c r="B21" s="973">
        <v>14</v>
      </c>
      <c r="C21" s="192" t="s">
        <v>494</v>
      </c>
      <c r="D21" s="193" t="s">
        <v>914</v>
      </c>
      <c r="E21" s="193" t="s">
        <v>915</v>
      </c>
      <c r="F21" s="198"/>
      <c r="G21" s="455"/>
      <c r="H21" s="267" t="s">
        <v>128</v>
      </c>
      <c r="I21" s="979">
        <v>27720</v>
      </c>
      <c r="J21" s="882">
        <f>INT((P21-'DataBase (IMO form)'!I21)/365)</f>
        <v>50</v>
      </c>
      <c r="K21" s="192" t="s">
        <v>916</v>
      </c>
      <c r="L21" s="192" t="s">
        <v>518</v>
      </c>
      <c r="M21" s="192" t="s">
        <v>519</v>
      </c>
      <c r="N21" s="196" t="s">
        <v>521</v>
      </c>
      <c r="O21" s="670"/>
      <c r="P21" s="198">
        <v>46042</v>
      </c>
      <c r="Q21" s="456">
        <f t="shared" si="2"/>
        <v>46131</v>
      </c>
      <c r="R21" s="197" t="s">
        <v>168</v>
      </c>
      <c r="S21" s="197" t="s">
        <v>91</v>
      </c>
      <c r="T21" s="266">
        <v>46042</v>
      </c>
      <c r="U21" s="267" t="s">
        <v>902</v>
      </c>
      <c r="V21" s="670"/>
      <c r="W21" s="192" t="s">
        <v>917</v>
      </c>
      <c r="X21" s="198">
        <v>47104</v>
      </c>
      <c r="Y21" s="192" t="s">
        <v>916</v>
      </c>
      <c r="Z21" s="192" t="s">
        <v>918</v>
      </c>
      <c r="AA21" s="192" t="s">
        <v>919</v>
      </c>
      <c r="AB21" s="883">
        <v>49651</v>
      </c>
      <c r="AC21" s="673"/>
      <c r="AD21" s="1011" t="s">
        <v>920</v>
      </c>
      <c r="AE21" s="194">
        <v>47073</v>
      </c>
      <c r="AF21" s="194" t="s">
        <v>932</v>
      </c>
      <c r="AG21" s="244">
        <v>46740</v>
      </c>
      <c r="AH21" s="457" t="s">
        <v>397</v>
      </c>
      <c r="AI21" s="456"/>
      <c r="AJ21" s="457"/>
      <c r="AK21" s="676"/>
      <c r="AL21" s="193"/>
      <c r="AM21" s="193"/>
      <c r="AN21" s="193"/>
      <c r="AO21" s="193" t="s">
        <v>928</v>
      </c>
      <c r="AP21" s="872"/>
    </row>
    <row r="22" spans="1:46" s="446" customFormat="1" ht="17.25" customHeight="1">
      <c r="A22" s="872"/>
      <c r="B22" s="973">
        <v>15</v>
      </c>
      <c r="C22" s="192" t="s">
        <v>495</v>
      </c>
      <c r="D22" s="193" t="s">
        <v>971</v>
      </c>
      <c r="E22" s="193" t="s">
        <v>972</v>
      </c>
      <c r="F22" s="192"/>
      <c r="G22" s="193"/>
      <c r="H22" s="267" t="s">
        <v>128</v>
      </c>
      <c r="I22" s="979">
        <v>29241</v>
      </c>
      <c r="J22" s="882">
        <f>INT((P22-'DataBase (IMO form)'!I22)/365)</f>
        <v>46</v>
      </c>
      <c r="K22" s="192" t="s">
        <v>973</v>
      </c>
      <c r="L22" s="192" t="s">
        <v>53</v>
      </c>
      <c r="M22" s="192" t="s">
        <v>52</v>
      </c>
      <c r="N22" s="196" t="s">
        <v>127</v>
      </c>
      <c r="O22" s="670"/>
      <c r="P22" s="198">
        <v>46081</v>
      </c>
      <c r="Q22" s="456">
        <f t="shared" si="2"/>
        <v>46353</v>
      </c>
      <c r="R22" s="197" t="s">
        <v>129</v>
      </c>
      <c r="S22" s="197" t="s">
        <v>91</v>
      </c>
      <c r="T22" s="198">
        <v>46081</v>
      </c>
      <c r="U22" s="267" t="s">
        <v>966</v>
      </c>
      <c r="V22" s="670"/>
      <c r="W22" s="192" t="s">
        <v>988</v>
      </c>
      <c r="X22" s="198">
        <v>48275</v>
      </c>
      <c r="Y22" s="192" t="s">
        <v>985</v>
      </c>
      <c r="Z22" s="192"/>
      <c r="AA22" s="192"/>
      <c r="AB22" s="883"/>
      <c r="AC22" s="673"/>
      <c r="AD22" s="192" t="s">
        <v>998</v>
      </c>
      <c r="AE22" s="883">
        <v>49701</v>
      </c>
      <c r="AF22" s="194"/>
      <c r="AG22" s="244"/>
      <c r="AH22" s="457" t="s">
        <v>397</v>
      </c>
      <c r="AI22" s="456" t="s">
        <v>115</v>
      </c>
      <c r="AJ22" s="457" t="s">
        <v>115</v>
      </c>
      <c r="AK22" s="676"/>
      <c r="AL22" s="193"/>
      <c r="AM22" s="193"/>
      <c r="AN22" s="193"/>
      <c r="AO22" s="193" t="s">
        <v>863</v>
      </c>
      <c r="AP22" s="872"/>
    </row>
    <row r="23" spans="1:46" s="446" customFormat="1" ht="17.25" customHeight="1">
      <c r="A23" s="872"/>
      <c r="B23" s="973">
        <v>16</v>
      </c>
      <c r="C23" s="192" t="s">
        <v>496</v>
      </c>
      <c r="D23" s="193" t="s">
        <v>977</v>
      </c>
      <c r="E23" s="193" t="s">
        <v>976</v>
      </c>
      <c r="F23" s="192"/>
      <c r="G23" s="193"/>
      <c r="H23" s="267" t="s">
        <v>128</v>
      </c>
      <c r="I23" s="979">
        <v>34168</v>
      </c>
      <c r="J23" s="882">
        <f>INT((P23-'DataBase (IMO form)'!I23)/365)</f>
        <v>32</v>
      </c>
      <c r="K23" s="192" t="s">
        <v>978</v>
      </c>
      <c r="L23" s="192" t="s">
        <v>53</v>
      </c>
      <c r="M23" s="192" t="s">
        <v>52</v>
      </c>
      <c r="N23" s="196" t="s">
        <v>127</v>
      </c>
      <c r="O23" s="670"/>
      <c r="P23" s="198">
        <v>46081</v>
      </c>
      <c r="Q23" s="456">
        <f t="shared" si="2"/>
        <v>46353</v>
      </c>
      <c r="R23" s="197" t="s">
        <v>129</v>
      </c>
      <c r="S23" s="197" t="s">
        <v>91</v>
      </c>
      <c r="T23" s="198">
        <v>46081</v>
      </c>
      <c r="U23" s="267" t="s">
        <v>966</v>
      </c>
      <c r="V23" s="670"/>
      <c r="W23" s="192" t="s">
        <v>989</v>
      </c>
      <c r="X23" s="198">
        <v>47649</v>
      </c>
      <c r="Y23" s="192" t="s">
        <v>794</v>
      </c>
      <c r="Z23" s="192"/>
      <c r="AA23" s="192"/>
      <c r="AB23" s="883"/>
      <c r="AC23" s="673"/>
      <c r="AD23" s="1011" t="s">
        <v>1002</v>
      </c>
      <c r="AE23" s="263">
        <v>49647</v>
      </c>
      <c r="AF23" s="263"/>
      <c r="AG23" s="264"/>
      <c r="AH23" s="457" t="s">
        <v>397</v>
      </c>
      <c r="AI23" s="456" t="s">
        <v>115</v>
      </c>
      <c r="AJ23" s="457" t="s">
        <v>115</v>
      </c>
      <c r="AK23" s="676"/>
      <c r="AL23" s="193"/>
      <c r="AM23" s="193"/>
      <c r="AN23" s="193"/>
      <c r="AO23" s="193" t="s">
        <v>863</v>
      </c>
      <c r="AP23" s="872"/>
    </row>
    <row r="24" spans="1:46" s="446" customFormat="1" ht="17.25" customHeight="1">
      <c r="A24" s="872"/>
      <c r="B24" s="973">
        <v>17</v>
      </c>
      <c r="C24" s="192" t="s">
        <v>496</v>
      </c>
      <c r="D24" s="193" t="s">
        <v>974</v>
      </c>
      <c r="E24" s="193" t="s">
        <v>975</v>
      </c>
      <c r="F24" s="192"/>
      <c r="G24" s="193"/>
      <c r="H24" s="267" t="s">
        <v>128</v>
      </c>
      <c r="I24" s="979">
        <v>33759</v>
      </c>
      <c r="J24" s="882">
        <f>INT((P24-'DataBase (IMO form)'!I24)/365)</f>
        <v>33</v>
      </c>
      <c r="K24" s="192" t="s">
        <v>973</v>
      </c>
      <c r="L24" s="192" t="s">
        <v>53</v>
      </c>
      <c r="M24" s="192" t="s">
        <v>52</v>
      </c>
      <c r="N24" s="196" t="s">
        <v>127</v>
      </c>
      <c r="O24" s="670"/>
      <c r="P24" s="198">
        <v>46081</v>
      </c>
      <c r="Q24" s="456">
        <f>DATE(YEAR(P24),MONTH(P24)+R24,DAY(P24)-1)</f>
        <v>46353</v>
      </c>
      <c r="R24" s="197" t="s">
        <v>129</v>
      </c>
      <c r="S24" s="197" t="s">
        <v>91</v>
      </c>
      <c r="T24" s="198">
        <v>46081</v>
      </c>
      <c r="U24" s="267" t="s">
        <v>966</v>
      </c>
      <c r="V24" s="670"/>
      <c r="W24" s="192" t="s">
        <v>990</v>
      </c>
      <c r="X24" s="198">
        <v>47825</v>
      </c>
      <c r="Y24" s="192" t="s">
        <v>985</v>
      </c>
      <c r="Z24" s="192"/>
      <c r="AA24" s="192"/>
      <c r="AB24" s="883"/>
      <c r="AC24" s="673"/>
      <c r="AD24" s="192" t="s">
        <v>999</v>
      </c>
      <c r="AE24" s="883">
        <v>47862</v>
      </c>
      <c r="AF24" s="263"/>
      <c r="AG24" s="244"/>
      <c r="AH24" s="457" t="s">
        <v>397</v>
      </c>
      <c r="AI24" s="456" t="s">
        <v>115</v>
      </c>
      <c r="AJ24" s="457" t="s">
        <v>115</v>
      </c>
      <c r="AK24" s="676"/>
      <c r="AL24" s="193"/>
      <c r="AM24" s="193"/>
      <c r="AN24" s="193"/>
      <c r="AO24" s="193" t="s">
        <v>863</v>
      </c>
      <c r="AP24" s="872"/>
    </row>
    <row r="25" spans="1:46" s="446" customFormat="1" ht="17.25" customHeight="1">
      <c r="A25" s="872"/>
      <c r="B25" s="973">
        <v>18</v>
      </c>
      <c r="C25" s="192" t="s">
        <v>496</v>
      </c>
      <c r="D25" s="193" t="s">
        <v>748</v>
      </c>
      <c r="E25" s="193" t="s">
        <v>749</v>
      </c>
      <c r="F25" s="192" t="s">
        <v>512</v>
      </c>
      <c r="G25" s="193" t="s">
        <v>763</v>
      </c>
      <c r="H25" s="267" t="s">
        <v>128</v>
      </c>
      <c r="I25" s="979">
        <v>35899</v>
      </c>
      <c r="J25" s="882">
        <f>INT((P25-'DataBase (IMO form)'!I25)/365)</f>
        <v>27</v>
      </c>
      <c r="K25" s="192" t="s">
        <v>750</v>
      </c>
      <c r="L25" s="192" t="s">
        <v>53</v>
      </c>
      <c r="M25" s="192" t="s">
        <v>52</v>
      </c>
      <c r="N25" s="196" t="s">
        <v>127</v>
      </c>
      <c r="O25" s="670"/>
      <c r="P25" s="198">
        <v>45938</v>
      </c>
      <c r="Q25" s="456">
        <f>DATE(YEAR(P25),MONTH(P25)+R25,DAY(P25)-1)</f>
        <v>46210</v>
      </c>
      <c r="R25" s="197" t="s">
        <v>129</v>
      </c>
      <c r="S25" s="197" t="s">
        <v>91</v>
      </c>
      <c r="T25" s="266">
        <v>45957</v>
      </c>
      <c r="U25" s="267" t="s">
        <v>764</v>
      </c>
      <c r="V25" s="670"/>
      <c r="W25" s="192" t="s">
        <v>751</v>
      </c>
      <c r="X25" s="198">
        <v>47384</v>
      </c>
      <c r="Y25" s="192" t="s">
        <v>752</v>
      </c>
      <c r="Z25" s="234"/>
      <c r="AA25" s="234"/>
      <c r="AB25" s="886"/>
      <c r="AC25" s="673"/>
      <c r="AD25" s="1011" t="s">
        <v>767</v>
      </c>
      <c r="AE25" s="194">
        <v>47384</v>
      </c>
      <c r="AF25" s="194" t="s">
        <v>769</v>
      </c>
      <c r="AG25" s="244">
        <v>47059</v>
      </c>
      <c r="AH25" s="457" t="s">
        <v>397</v>
      </c>
      <c r="AI25" s="456" t="s">
        <v>115</v>
      </c>
      <c r="AJ25" s="457" t="s">
        <v>115</v>
      </c>
      <c r="AK25" s="676"/>
      <c r="AL25" s="193"/>
      <c r="AM25" s="193"/>
      <c r="AN25" s="193"/>
      <c r="AO25" s="193" t="s">
        <v>820</v>
      </c>
      <c r="AP25" s="872"/>
    </row>
    <row r="26" spans="1:46" s="446" customFormat="1" ht="17.25" customHeight="1">
      <c r="A26" s="872"/>
      <c r="B26" s="973">
        <v>19</v>
      </c>
      <c r="C26" s="192" t="s">
        <v>496</v>
      </c>
      <c r="D26" s="193" t="s">
        <v>981</v>
      </c>
      <c r="E26" s="193" t="s">
        <v>982</v>
      </c>
      <c r="F26" s="192"/>
      <c r="G26" s="193"/>
      <c r="H26" s="267" t="s">
        <v>128</v>
      </c>
      <c r="I26" s="979">
        <v>34015</v>
      </c>
      <c r="J26" s="882">
        <f>INT((P26-'DataBase (IMO form)'!I26)/365)</f>
        <v>33</v>
      </c>
      <c r="K26" s="192" t="s">
        <v>983</v>
      </c>
      <c r="L26" s="192" t="s">
        <v>53</v>
      </c>
      <c r="M26" s="192" t="s">
        <v>52</v>
      </c>
      <c r="N26" s="196" t="s">
        <v>127</v>
      </c>
      <c r="O26" s="670"/>
      <c r="P26" s="198">
        <v>46081</v>
      </c>
      <c r="Q26" s="456">
        <f>DATE(YEAR(P26),MONTH(P26)+R26,DAY(P26)-1)</f>
        <v>46383</v>
      </c>
      <c r="R26" s="197" t="s">
        <v>941</v>
      </c>
      <c r="S26" s="197" t="s">
        <v>91</v>
      </c>
      <c r="T26" s="198">
        <v>46081</v>
      </c>
      <c r="U26" s="267" t="s">
        <v>966</v>
      </c>
      <c r="V26" s="670"/>
      <c r="W26" s="192" t="s">
        <v>987</v>
      </c>
      <c r="X26" s="198">
        <v>47516</v>
      </c>
      <c r="Y26" s="192" t="s">
        <v>527</v>
      </c>
      <c r="Z26" s="234"/>
      <c r="AA26" s="234"/>
      <c r="AB26" s="886"/>
      <c r="AC26" s="673"/>
      <c r="AD26" s="1011" t="s">
        <v>997</v>
      </c>
      <c r="AE26" s="194">
        <v>46853</v>
      </c>
      <c r="AF26" s="194"/>
      <c r="AG26" s="244"/>
      <c r="AH26" s="457" t="s">
        <v>397</v>
      </c>
      <c r="AI26" s="456" t="s">
        <v>115</v>
      </c>
      <c r="AJ26" s="457" t="s">
        <v>115</v>
      </c>
      <c r="AK26" s="676"/>
      <c r="AL26" s="193"/>
      <c r="AM26" s="193"/>
      <c r="AN26" s="193"/>
      <c r="AO26" s="193" t="s">
        <v>863</v>
      </c>
      <c r="AP26" s="872"/>
    </row>
    <row r="27" spans="1:46" s="446" customFormat="1" ht="17.25" customHeight="1">
      <c r="A27" s="872"/>
      <c r="B27" s="973">
        <v>20</v>
      </c>
      <c r="C27" s="192" t="s">
        <v>498</v>
      </c>
      <c r="D27" s="193" t="s">
        <v>508</v>
      </c>
      <c r="E27" s="193" t="s">
        <v>509</v>
      </c>
      <c r="F27" s="192" t="s">
        <v>497</v>
      </c>
      <c r="G27" s="193" t="s">
        <v>533</v>
      </c>
      <c r="H27" s="267" t="s">
        <v>128</v>
      </c>
      <c r="I27" s="979">
        <v>35054</v>
      </c>
      <c r="J27" s="882">
        <f>INT((P27-'DataBase (IMO form)'!I27)/365)</f>
        <v>29</v>
      </c>
      <c r="K27" s="192" t="s">
        <v>514</v>
      </c>
      <c r="L27" s="192" t="s">
        <v>53</v>
      </c>
      <c r="M27" s="192" t="s">
        <v>52</v>
      </c>
      <c r="N27" s="196" t="s">
        <v>127</v>
      </c>
      <c r="O27" s="670"/>
      <c r="P27" s="198">
        <v>45826</v>
      </c>
      <c r="Q27" s="456">
        <f t="shared" ref="Q27:Q35" si="4">DATE(YEAR(P27),MONTH(P27)+R27,DAY(P27)-1)</f>
        <v>46098</v>
      </c>
      <c r="R27" s="197" t="s">
        <v>129</v>
      </c>
      <c r="S27" s="197" t="s">
        <v>91</v>
      </c>
      <c r="T27" s="266">
        <v>45830</v>
      </c>
      <c r="U27" s="267" t="s">
        <v>536</v>
      </c>
      <c r="V27" s="670"/>
      <c r="W27" s="192" t="s">
        <v>522</v>
      </c>
      <c r="X27" s="198">
        <v>47401</v>
      </c>
      <c r="Y27" s="192" t="s">
        <v>526</v>
      </c>
      <c r="Z27" s="192"/>
      <c r="AA27" s="192"/>
      <c r="AB27" s="883"/>
      <c r="AC27" s="673"/>
      <c r="AD27" s="1011" t="s">
        <v>546</v>
      </c>
      <c r="AE27" s="194">
        <v>47031</v>
      </c>
      <c r="AF27" s="194" t="s">
        <v>744</v>
      </c>
      <c r="AG27" s="244">
        <v>47378</v>
      </c>
      <c r="AH27" s="457" t="s">
        <v>475</v>
      </c>
      <c r="AI27" s="456" t="s">
        <v>115</v>
      </c>
      <c r="AJ27" s="457" t="s">
        <v>115</v>
      </c>
      <c r="AK27" s="676"/>
      <c r="AL27" s="193"/>
      <c r="AM27" s="193"/>
      <c r="AN27" s="193"/>
      <c r="AO27" s="193" t="s">
        <v>714</v>
      </c>
      <c r="AP27" s="872"/>
    </row>
    <row r="28" spans="1:46" s="445" customFormat="1" ht="17.25" customHeight="1">
      <c r="A28" s="872"/>
      <c r="B28" s="973">
        <v>21</v>
      </c>
      <c r="C28" s="192" t="s">
        <v>498</v>
      </c>
      <c r="D28" s="193" t="s">
        <v>789</v>
      </c>
      <c r="E28" s="193" t="s">
        <v>790</v>
      </c>
      <c r="F28" s="192" t="s">
        <v>512</v>
      </c>
      <c r="G28" s="193" t="s">
        <v>791</v>
      </c>
      <c r="H28" s="192" t="s">
        <v>128</v>
      </c>
      <c r="I28" s="979">
        <v>36084</v>
      </c>
      <c r="J28" s="882">
        <f>INT((P28-'DataBase (IMO form)'!I28)/365)</f>
        <v>27</v>
      </c>
      <c r="K28" s="192" t="s">
        <v>792</v>
      </c>
      <c r="L28" s="192" t="s">
        <v>53</v>
      </c>
      <c r="M28" s="192" t="s">
        <v>52</v>
      </c>
      <c r="N28" s="196" t="s">
        <v>127</v>
      </c>
      <c r="O28" s="670"/>
      <c r="P28" s="198">
        <v>45974</v>
      </c>
      <c r="Q28" s="456">
        <f t="shared" si="4"/>
        <v>46065</v>
      </c>
      <c r="R28" s="197" t="s">
        <v>168</v>
      </c>
      <c r="S28" s="197" t="s">
        <v>91</v>
      </c>
      <c r="T28" s="266">
        <v>45980</v>
      </c>
      <c r="U28" s="267" t="s">
        <v>779</v>
      </c>
      <c r="V28" s="670"/>
      <c r="W28" s="192" t="s">
        <v>793</v>
      </c>
      <c r="X28" s="198">
        <v>46824</v>
      </c>
      <c r="Y28" s="192" t="s">
        <v>794</v>
      </c>
      <c r="Z28" s="192" t="s">
        <v>795</v>
      </c>
      <c r="AA28" s="192" t="s">
        <v>796</v>
      </c>
      <c r="AB28" s="883">
        <v>49532</v>
      </c>
      <c r="AC28" s="673"/>
      <c r="AD28" s="1011" t="s">
        <v>797</v>
      </c>
      <c r="AE28" s="194">
        <v>47311</v>
      </c>
      <c r="AF28" s="194" t="s">
        <v>865</v>
      </c>
      <c r="AG28" s="244">
        <v>47807</v>
      </c>
      <c r="AH28" s="457" t="s">
        <v>397</v>
      </c>
      <c r="AI28" s="456" t="s">
        <v>115</v>
      </c>
      <c r="AJ28" s="457" t="s">
        <v>115</v>
      </c>
      <c r="AK28" s="676"/>
      <c r="AL28" s="193"/>
      <c r="AM28" s="193"/>
      <c r="AN28" s="193"/>
      <c r="AO28" s="193" t="s">
        <v>812</v>
      </c>
      <c r="AP28" s="872"/>
      <c r="AS28" s="446"/>
      <c r="AT28" s="446"/>
    </row>
    <row r="29" spans="1:46" s="447" customFormat="1" ht="14.25" customHeight="1">
      <c r="A29" s="872"/>
      <c r="B29" s="973">
        <v>22</v>
      </c>
      <c r="C29" s="192" t="s">
        <v>499</v>
      </c>
      <c r="D29" s="193" t="s">
        <v>503</v>
      </c>
      <c r="E29" s="193" t="s">
        <v>505</v>
      </c>
      <c r="F29" s="192" t="s">
        <v>511</v>
      </c>
      <c r="G29" s="193" t="s">
        <v>534</v>
      </c>
      <c r="H29" s="192" t="s">
        <v>128</v>
      </c>
      <c r="I29" s="979">
        <v>33621</v>
      </c>
      <c r="J29" s="882">
        <f>INT((P29-'DataBase (IMO form)'!I29)/365)</f>
        <v>33</v>
      </c>
      <c r="K29" s="192" t="s">
        <v>515</v>
      </c>
      <c r="L29" s="192" t="s">
        <v>53</v>
      </c>
      <c r="M29" s="192" t="s">
        <v>52</v>
      </c>
      <c r="N29" s="196" t="s">
        <v>127</v>
      </c>
      <c r="O29" s="670"/>
      <c r="P29" s="198">
        <v>45921</v>
      </c>
      <c r="Q29" s="456">
        <f t="shared" si="4"/>
        <v>46101</v>
      </c>
      <c r="R29" s="197" t="s">
        <v>58</v>
      </c>
      <c r="S29" s="197" t="s">
        <v>91</v>
      </c>
      <c r="T29" s="266">
        <v>45830</v>
      </c>
      <c r="U29" s="267" t="s">
        <v>536</v>
      </c>
      <c r="V29" s="670"/>
      <c r="W29" s="192" t="s">
        <v>523</v>
      </c>
      <c r="X29" s="198">
        <v>47931</v>
      </c>
      <c r="Y29" s="192" t="s">
        <v>528</v>
      </c>
      <c r="Z29" s="192"/>
      <c r="AA29" s="192"/>
      <c r="AB29" s="883"/>
      <c r="AC29" s="673"/>
      <c r="AD29" s="1011" t="s">
        <v>547</v>
      </c>
      <c r="AE29" s="194">
        <v>46492</v>
      </c>
      <c r="AF29" s="194" t="s">
        <v>742</v>
      </c>
      <c r="AG29" s="244">
        <v>46947</v>
      </c>
      <c r="AH29" s="457" t="s">
        <v>397</v>
      </c>
      <c r="AI29" s="456" t="s">
        <v>115</v>
      </c>
      <c r="AJ29" s="457" t="s">
        <v>115</v>
      </c>
      <c r="AK29" s="676"/>
      <c r="AL29" s="867"/>
      <c r="AM29" s="867"/>
      <c r="AN29" s="867"/>
      <c r="AO29" s="866" t="s">
        <v>715</v>
      </c>
      <c r="AP29" s="872"/>
      <c r="AS29" s="445"/>
      <c r="AT29" s="445"/>
    </row>
    <row r="30" spans="1:46" s="446" customFormat="1" ht="17.25" customHeight="1">
      <c r="A30" s="872"/>
      <c r="B30" s="973">
        <v>23</v>
      </c>
      <c r="C30" s="192" t="s">
        <v>500</v>
      </c>
      <c r="D30" s="193" t="s">
        <v>753</v>
      </c>
      <c r="E30" s="193" t="s">
        <v>754</v>
      </c>
      <c r="F30" s="192" t="s">
        <v>532</v>
      </c>
      <c r="G30" s="193" t="s">
        <v>755</v>
      </c>
      <c r="H30" s="192" t="s">
        <v>128</v>
      </c>
      <c r="I30" s="979">
        <v>32630</v>
      </c>
      <c r="J30" s="882">
        <f>INT((P30-'DataBase (IMO form)'!I30)/365)</f>
        <v>36</v>
      </c>
      <c r="K30" s="192" t="s">
        <v>766</v>
      </c>
      <c r="L30" s="192" t="s">
        <v>53</v>
      </c>
      <c r="M30" s="192" t="s">
        <v>52</v>
      </c>
      <c r="N30" s="196" t="s">
        <v>127</v>
      </c>
      <c r="O30" s="670"/>
      <c r="P30" s="198">
        <v>45895</v>
      </c>
      <c r="Q30" s="456">
        <f t="shared" ref="Q30:Q32" si="5">DATE(YEAR(P30),MONTH(P30)+R30,DAY(P30)-1)</f>
        <v>46167</v>
      </c>
      <c r="R30" s="197" t="s">
        <v>129</v>
      </c>
      <c r="S30" s="197" t="s">
        <v>91</v>
      </c>
      <c r="T30" s="266">
        <v>45957</v>
      </c>
      <c r="U30" s="267" t="s">
        <v>764</v>
      </c>
      <c r="V30" s="670"/>
      <c r="W30" s="192" t="s">
        <v>756</v>
      </c>
      <c r="X30" s="198">
        <v>46820</v>
      </c>
      <c r="Y30" s="192" t="s">
        <v>527</v>
      </c>
      <c r="Z30" s="234"/>
      <c r="AA30" s="234"/>
      <c r="AB30" s="886"/>
      <c r="AC30" s="673"/>
      <c r="AD30" s="1011" t="s">
        <v>768</v>
      </c>
      <c r="AE30" s="194">
        <v>46820</v>
      </c>
      <c r="AF30" s="194" t="s">
        <v>770</v>
      </c>
      <c r="AG30" s="244">
        <v>47064</v>
      </c>
      <c r="AH30" s="457" t="s">
        <v>397</v>
      </c>
      <c r="AI30" s="456" t="s">
        <v>115</v>
      </c>
      <c r="AJ30" s="457" t="s">
        <v>115</v>
      </c>
      <c r="AK30" s="676"/>
      <c r="AL30" s="867"/>
      <c r="AM30" s="867"/>
      <c r="AN30" s="867"/>
      <c r="AO30" s="866" t="s">
        <v>819</v>
      </c>
      <c r="AP30" s="872"/>
      <c r="AS30" s="447"/>
      <c r="AT30" s="447"/>
    </row>
    <row r="31" spans="1:46" s="446" customFormat="1" ht="17.25" customHeight="1">
      <c r="A31" s="872"/>
      <c r="B31" s="973">
        <v>24</v>
      </c>
      <c r="C31" s="192" t="s">
        <v>500</v>
      </c>
      <c r="D31" s="193" t="s">
        <v>885</v>
      </c>
      <c r="E31" s="193" t="s">
        <v>798</v>
      </c>
      <c r="F31" s="192" t="s">
        <v>510</v>
      </c>
      <c r="G31" s="193" t="s">
        <v>799</v>
      </c>
      <c r="H31" s="192" t="s">
        <v>128</v>
      </c>
      <c r="I31" s="979">
        <v>33831</v>
      </c>
      <c r="J31" s="882">
        <f>INT((P31-'DataBase (IMO form)'!I31)/365)</f>
        <v>33</v>
      </c>
      <c r="K31" s="192" t="s">
        <v>800</v>
      </c>
      <c r="L31" s="192" t="s">
        <v>53</v>
      </c>
      <c r="M31" s="192" t="s">
        <v>52</v>
      </c>
      <c r="N31" s="196" t="s">
        <v>127</v>
      </c>
      <c r="O31" s="670"/>
      <c r="P31" s="198">
        <v>45974</v>
      </c>
      <c r="Q31" s="456">
        <f t="shared" si="5"/>
        <v>46065</v>
      </c>
      <c r="R31" s="197" t="s">
        <v>807</v>
      </c>
      <c r="S31" s="197" t="s">
        <v>91</v>
      </c>
      <c r="T31" s="266">
        <v>45980</v>
      </c>
      <c r="U31" s="192" t="s">
        <v>779</v>
      </c>
      <c r="V31" s="670"/>
      <c r="W31" s="192" t="s">
        <v>801</v>
      </c>
      <c r="X31" s="198">
        <v>46914</v>
      </c>
      <c r="Y31" s="192" t="s">
        <v>802</v>
      </c>
      <c r="Z31" s="192" t="s">
        <v>803</v>
      </c>
      <c r="AA31" s="192" t="s">
        <v>804</v>
      </c>
      <c r="AB31" s="883">
        <v>49583</v>
      </c>
      <c r="AC31" s="673"/>
      <c r="AD31" s="1011" t="s">
        <v>805</v>
      </c>
      <c r="AE31" s="194">
        <v>47895</v>
      </c>
      <c r="AF31" s="194" t="s">
        <v>808</v>
      </c>
      <c r="AG31" s="244">
        <v>46606</v>
      </c>
      <c r="AH31" s="457" t="s">
        <v>397</v>
      </c>
      <c r="AI31" s="456" t="s">
        <v>115</v>
      </c>
      <c r="AJ31" s="457" t="s">
        <v>115</v>
      </c>
      <c r="AK31" s="676"/>
      <c r="AL31" s="867"/>
      <c r="AM31" s="867"/>
      <c r="AN31" s="867"/>
      <c r="AO31" s="193" t="s">
        <v>813</v>
      </c>
      <c r="AP31" s="872"/>
    </row>
    <row r="32" spans="1:46" s="446" customFormat="1" ht="17.25" customHeight="1">
      <c r="A32" s="872"/>
      <c r="B32" s="973">
        <v>25</v>
      </c>
      <c r="C32" s="192" t="s">
        <v>824</v>
      </c>
      <c r="D32" s="193" t="s">
        <v>825</v>
      </c>
      <c r="E32" s="193" t="s">
        <v>826</v>
      </c>
      <c r="F32" s="192" t="s">
        <v>532</v>
      </c>
      <c r="G32" s="193" t="s">
        <v>827</v>
      </c>
      <c r="H32" s="192" t="s">
        <v>128</v>
      </c>
      <c r="I32" s="979">
        <v>36550</v>
      </c>
      <c r="J32" s="882">
        <f>INT((P32-'DataBase (IMO form)'!I32)/365)</f>
        <v>25</v>
      </c>
      <c r="K32" s="192" t="s">
        <v>828</v>
      </c>
      <c r="L32" s="192" t="s">
        <v>53</v>
      </c>
      <c r="M32" s="192" t="s">
        <v>52</v>
      </c>
      <c r="N32" s="196" t="s">
        <v>127</v>
      </c>
      <c r="O32" s="670"/>
      <c r="P32" s="198">
        <v>45993</v>
      </c>
      <c r="Q32" s="456">
        <f t="shared" si="5"/>
        <v>46082</v>
      </c>
      <c r="R32" s="197" t="s">
        <v>168</v>
      </c>
      <c r="S32" s="197" t="s">
        <v>91</v>
      </c>
      <c r="T32" s="266">
        <v>46002</v>
      </c>
      <c r="U32" s="192" t="s">
        <v>829</v>
      </c>
      <c r="V32" s="670"/>
      <c r="W32" s="192" t="s">
        <v>830</v>
      </c>
      <c r="X32" s="198">
        <v>48494</v>
      </c>
      <c r="Y32" s="192" t="s">
        <v>831</v>
      </c>
      <c r="Z32" s="192" t="s">
        <v>860</v>
      </c>
      <c r="AA32" s="192" t="s">
        <v>861</v>
      </c>
      <c r="AB32" s="883">
        <v>48910</v>
      </c>
      <c r="AC32" s="673"/>
      <c r="AD32" s="1011" t="s">
        <v>832</v>
      </c>
      <c r="AE32" s="194">
        <v>48792</v>
      </c>
      <c r="AF32" s="194" t="s">
        <v>862</v>
      </c>
      <c r="AG32" s="244">
        <v>47180</v>
      </c>
      <c r="AH32" s="457" t="s">
        <v>397</v>
      </c>
      <c r="AI32" s="456" t="s">
        <v>115</v>
      </c>
      <c r="AJ32" s="457" t="s">
        <v>115</v>
      </c>
      <c r="AK32" s="676"/>
      <c r="AL32" s="867"/>
      <c r="AM32" s="867"/>
      <c r="AN32" s="867"/>
      <c r="AO32" s="193" t="s">
        <v>856</v>
      </c>
      <c r="AP32" s="872"/>
    </row>
    <row r="33" spans="1:42" s="446" customFormat="1" ht="17.25" customHeight="1">
      <c r="A33" s="872"/>
      <c r="B33" s="973">
        <v>26</v>
      </c>
      <c r="C33" s="192" t="s">
        <v>501</v>
      </c>
      <c r="D33" s="193" t="s">
        <v>757</v>
      </c>
      <c r="E33" s="193" t="s">
        <v>758</v>
      </c>
      <c r="F33" s="192" t="s">
        <v>760</v>
      </c>
      <c r="G33" s="193" t="s">
        <v>759</v>
      </c>
      <c r="H33" s="192" t="s">
        <v>128</v>
      </c>
      <c r="I33" s="979">
        <v>34876</v>
      </c>
      <c r="J33" s="882">
        <f>INT((P33-'DataBase (IMO form)'!I33)/365)</f>
        <v>30</v>
      </c>
      <c r="K33" s="192" t="s">
        <v>761</v>
      </c>
      <c r="L33" s="192" t="s">
        <v>53</v>
      </c>
      <c r="M33" s="192" t="s">
        <v>52</v>
      </c>
      <c r="N33" s="196" t="s">
        <v>127</v>
      </c>
      <c r="O33" s="670"/>
      <c r="P33" s="198">
        <v>45950</v>
      </c>
      <c r="Q33" s="456">
        <f t="shared" si="4"/>
        <v>46222</v>
      </c>
      <c r="R33" s="197" t="s">
        <v>129</v>
      </c>
      <c r="S33" s="197" t="s">
        <v>91</v>
      </c>
      <c r="T33" s="220">
        <v>45957</v>
      </c>
      <c r="U33" s="192" t="s">
        <v>764</v>
      </c>
      <c r="V33" s="670"/>
      <c r="W33" s="192" t="s">
        <v>762</v>
      </c>
      <c r="X33" s="198">
        <v>47957</v>
      </c>
      <c r="Y33" s="192" t="s">
        <v>529</v>
      </c>
      <c r="Z33" s="192" t="s">
        <v>777</v>
      </c>
      <c r="AA33" s="192" t="s">
        <v>778</v>
      </c>
      <c r="AB33" s="883">
        <v>49533</v>
      </c>
      <c r="AC33" s="673"/>
      <c r="AD33" s="1011" t="s">
        <v>765</v>
      </c>
      <c r="AE33" s="194">
        <v>49508</v>
      </c>
      <c r="AF33" s="194" t="s">
        <v>771</v>
      </c>
      <c r="AG33" s="244">
        <v>46947</v>
      </c>
      <c r="AH33" s="457" t="s">
        <v>397</v>
      </c>
      <c r="AI33" s="456" t="s">
        <v>115</v>
      </c>
      <c r="AJ33" s="457" t="s">
        <v>115</v>
      </c>
      <c r="AK33" s="676"/>
      <c r="AL33" s="867"/>
      <c r="AM33" s="867"/>
      <c r="AN33" s="867"/>
      <c r="AO33" s="866" t="s">
        <v>818</v>
      </c>
      <c r="AP33" s="872"/>
    </row>
    <row r="34" spans="1:42" s="446" customFormat="1" ht="17.25" customHeight="1">
      <c r="A34" s="872"/>
      <c r="B34" s="973">
        <v>27</v>
      </c>
      <c r="C34" s="192" t="s">
        <v>502</v>
      </c>
      <c r="D34" s="193" t="s">
        <v>979</v>
      </c>
      <c r="E34" s="193" t="s">
        <v>980</v>
      </c>
      <c r="F34" s="192"/>
      <c r="G34" s="193"/>
      <c r="H34" s="192" t="s">
        <v>128</v>
      </c>
      <c r="I34" s="979">
        <v>34074</v>
      </c>
      <c r="J34" s="882">
        <f>INT((P34-'DataBase (IMO form)'!I34)/365)</f>
        <v>32</v>
      </c>
      <c r="K34" s="192" t="s">
        <v>973</v>
      </c>
      <c r="L34" s="192" t="s">
        <v>53</v>
      </c>
      <c r="M34" s="192" t="s">
        <v>52</v>
      </c>
      <c r="N34" s="196" t="s">
        <v>127</v>
      </c>
      <c r="O34" s="670"/>
      <c r="P34" s="198">
        <v>46081</v>
      </c>
      <c r="Q34" s="456">
        <f t="shared" si="4"/>
        <v>46353</v>
      </c>
      <c r="R34" s="197" t="s">
        <v>129</v>
      </c>
      <c r="S34" s="197" t="s">
        <v>91</v>
      </c>
      <c r="T34" s="198">
        <v>46081</v>
      </c>
      <c r="U34" s="267" t="s">
        <v>966</v>
      </c>
      <c r="V34" s="670"/>
      <c r="W34" s="192" t="s">
        <v>986</v>
      </c>
      <c r="X34" s="198">
        <v>47862</v>
      </c>
      <c r="Y34" s="192" t="s">
        <v>985</v>
      </c>
      <c r="Z34" s="192"/>
      <c r="AA34" s="192"/>
      <c r="AB34" s="883"/>
      <c r="AC34" s="673"/>
      <c r="AD34" s="1011" t="s">
        <v>1000</v>
      </c>
      <c r="AE34" s="263">
        <v>49694</v>
      </c>
      <c r="AF34" s="194"/>
      <c r="AG34" s="244"/>
      <c r="AH34" s="457" t="s">
        <v>397</v>
      </c>
      <c r="AI34" s="456" t="s">
        <v>115</v>
      </c>
      <c r="AJ34" s="457" t="s">
        <v>115</v>
      </c>
      <c r="AK34" s="676"/>
      <c r="AL34" s="867"/>
      <c r="AM34" s="867"/>
      <c r="AN34" s="867"/>
      <c r="AO34" s="866" t="s">
        <v>713</v>
      </c>
      <c r="AP34" s="872"/>
    </row>
    <row r="35" spans="1:42" s="446" customFormat="1" ht="17.25" customHeight="1">
      <c r="A35" s="872"/>
      <c r="B35" s="973">
        <v>28</v>
      </c>
      <c r="C35" s="192" t="s">
        <v>234</v>
      </c>
      <c r="D35" s="193" t="s">
        <v>504</v>
      </c>
      <c r="E35" s="193" t="s">
        <v>507</v>
      </c>
      <c r="F35" s="192" t="s">
        <v>532</v>
      </c>
      <c r="G35" s="193" t="s">
        <v>535</v>
      </c>
      <c r="H35" s="192" t="s">
        <v>128</v>
      </c>
      <c r="I35" s="979">
        <v>36409</v>
      </c>
      <c r="J35" s="882">
        <f>INT((P35-'DataBase (IMO form)'!I35)/365)</f>
        <v>26</v>
      </c>
      <c r="K35" s="192" t="s">
        <v>516</v>
      </c>
      <c r="L35" s="192" t="s">
        <v>53</v>
      </c>
      <c r="M35" s="192" t="s">
        <v>52</v>
      </c>
      <c r="N35" s="196" t="s">
        <v>127</v>
      </c>
      <c r="O35" s="670"/>
      <c r="P35" s="198">
        <v>45921</v>
      </c>
      <c r="Q35" s="456">
        <f t="shared" si="4"/>
        <v>46101</v>
      </c>
      <c r="R35" s="197" t="s">
        <v>58</v>
      </c>
      <c r="S35" s="197" t="s">
        <v>91</v>
      </c>
      <c r="T35" s="220">
        <v>45830</v>
      </c>
      <c r="U35" s="192" t="s">
        <v>536</v>
      </c>
      <c r="V35" s="670"/>
      <c r="W35" s="192" t="s">
        <v>524</v>
      </c>
      <c r="X35" s="198">
        <v>48604</v>
      </c>
      <c r="Y35" s="192" t="s">
        <v>530</v>
      </c>
      <c r="Z35" s="234"/>
      <c r="AA35" s="234"/>
      <c r="AB35" s="886"/>
      <c r="AC35" s="673"/>
      <c r="AD35" s="1011" t="s">
        <v>548</v>
      </c>
      <c r="AE35" s="194">
        <v>48424</v>
      </c>
      <c r="AF35" s="194" t="s">
        <v>743</v>
      </c>
      <c r="AG35" s="244">
        <v>47119</v>
      </c>
      <c r="AH35" s="457" t="s">
        <v>475</v>
      </c>
      <c r="AI35" s="456" t="s">
        <v>115</v>
      </c>
      <c r="AJ35" s="457" t="s">
        <v>115</v>
      </c>
      <c r="AK35" s="676"/>
      <c r="AL35" s="867"/>
      <c r="AM35" s="867"/>
      <c r="AN35" s="867"/>
      <c r="AO35" s="866" t="s">
        <v>531</v>
      </c>
      <c r="AP35" s="872"/>
    </row>
    <row r="36" spans="1:42" ht="12.75">
      <c r="A36" s="872"/>
      <c r="B36" s="872"/>
      <c r="C36" s="872"/>
      <c r="D36" s="872"/>
      <c r="E36" s="872"/>
      <c r="F36" s="872"/>
      <c r="G36" s="872"/>
      <c r="H36" s="872"/>
      <c r="I36" s="872"/>
      <c r="J36" s="872"/>
      <c r="K36" s="872"/>
      <c r="L36" s="872"/>
      <c r="M36" s="872"/>
      <c r="N36" s="872"/>
      <c r="O36" s="670"/>
      <c r="P36" s="872"/>
      <c r="Q36" s="872"/>
      <c r="R36" s="872"/>
      <c r="S36" s="872"/>
      <c r="T36" s="872"/>
      <c r="U36" s="872"/>
      <c r="V36" s="670"/>
      <c r="W36" s="872"/>
      <c r="X36" s="872"/>
      <c r="Y36" s="872"/>
      <c r="Z36" s="872"/>
      <c r="AA36" s="872"/>
      <c r="AB36" s="872"/>
      <c r="AC36" s="673"/>
      <c r="AD36" s="872"/>
      <c r="AE36" s="872"/>
      <c r="AF36" s="872"/>
      <c r="AG36" s="872"/>
      <c r="AH36" s="872"/>
      <c r="AI36" s="872"/>
      <c r="AJ36" s="872"/>
      <c r="AK36" s="676"/>
      <c r="AL36" s="872"/>
      <c r="AM36" s="872"/>
      <c r="AN36" s="872"/>
      <c r="AO36" s="872"/>
      <c r="AP36" s="872"/>
    </row>
  </sheetData>
  <sheetProtection selectLockedCells="1"/>
  <mergeCells count="27">
    <mergeCell ref="AJ6:AJ7"/>
    <mergeCell ref="AO6:AO7"/>
    <mergeCell ref="Z6:AB6"/>
    <mergeCell ref="AD6:AE6"/>
    <mergeCell ref="AI6:AI7"/>
    <mergeCell ref="AL6:AN6"/>
    <mergeCell ref="AF6:AH6"/>
    <mergeCell ref="Q6:Q7"/>
    <mergeCell ref="R6:S7"/>
    <mergeCell ref="T6:T7"/>
    <mergeCell ref="U6:U7"/>
    <mergeCell ref="W6:Y6"/>
    <mergeCell ref="C3:D3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P6:P7"/>
  </mergeCells>
  <phoneticPr fontId="0" type="noConversion"/>
  <conditionalFormatting sqref="AE33 AB35 X32:X35 Q32:Q35 AB8:AB17 Q8:Q17 AE8:AG17 AI8:AI17 X8:X9 X11:X17 X10:Y10 X20:X29 AI20:AI35 AE20:AG21 Q20:Q29 AB20:AB29 AE23:AG23 AF22:AG22 AE25:AG29 AF24:AG24 AE35">
    <cfRule type="cellIs" dxfId="210" priority="63" stopIfTrue="1" operator="lessThanOrEqual">
      <formula>NOW()+30</formula>
    </cfRule>
  </conditionalFormatting>
  <conditionalFormatting sqref="AL32:AN32 AL33:AO35 AH33:AH35 Y31:Y34 R32:S32 AL20:AN20 Y35:AA35 Z12:AA12 Y8:AA11 C31:N35 U27:U35 R27:T29 P32:P35 R8:U17 R33:T35 AL21:AO30 R19:U26 P8:P29 AD8:AD21 AH8:AH29 AJ8:AJ35 W8:W35 Y13:AA30 B8:N10 AL8:AO18 C11:N29 B11:B35 AD23 AD25:AD33 AD35">
    <cfRule type="cellIs" dxfId="209" priority="23262" operator="lessThanOrEqual">
      <formula>$C$1048540</formula>
    </cfRule>
  </conditionalFormatting>
  <conditionalFormatting sqref="AE32">
    <cfRule type="cellIs" dxfId="208" priority="61" stopIfTrue="1" operator="lessThanOrEqual">
      <formula>NOW()+30</formula>
    </cfRule>
  </conditionalFormatting>
  <conditionalFormatting sqref="AB34">
    <cfRule type="cellIs" dxfId="207" priority="58" stopIfTrue="1" operator="lessThanOrEqual">
      <formula>NOW()+30</formula>
    </cfRule>
  </conditionalFormatting>
  <conditionalFormatting sqref="Z34:AA34">
    <cfRule type="cellIs" dxfId="206" priority="59" operator="lessThanOrEqual">
      <formula>$C$1048540</formula>
    </cfRule>
  </conditionalFormatting>
  <conditionalFormatting sqref="AB33">
    <cfRule type="cellIs" dxfId="205" priority="56" stopIfTrue="1" operator="lessThanOrEqual">
      <formula>NOW()+30</formula>
    </cfRule>
  </conditionalFormatting>
  <conditionalFormatting sqref="Z33:AA33">
    <cfRule type="cellIs" dxfId="204" priority="57" operator="lessThanOrEqual">
      <formula>$C$1048540</formula>
    </cfRule>
  </conditionalFormatting>
  <conditionalFormatting sqref="Z32">
    <cfRule type="cellIs" dxfId="203" priority="55" operator="lessThanOrEqual">
      <formula>$C$1048540</formula>
    </cfRule>
  </conditionalFormatting>
  <conditionalFormatting sqref="AA32">
    <cfRule type="cellIs" dxfId="202" priority="54" operator="lessThanOrEqual">
      <formula>$C$1048540</formula>
    </cfRule>
  </conditionalFormatting>
  <conditionalFormatting sqref="AO32">
    <cfRule type="cellIs" dxfId="201" priority="53" operator="lessThanOrEqual">
      <formula>$C$1048540</formula>
    </cfRule>
  </conditionalFormatting>
  <conditionalFormatting sqref="AF33:AG35">
    <cfRule type="cellIs" dxfId="200" priority="48" stopIfTrue="1" operator="lessThanOrEqual">
      <formula>NOW()+30</formula>
    </cfRule>
  </conditionalFormatting>
  <conditionalFormatting sqref="AF32:AG32">
    <cfRule type="cellIs" dxfId="199" priority="46" stopIfTrue="1" operator="lessThanOrEqual">
      <formula>NOW()+30</formula>
    </cfRule>
  </conditionalFormatting>
  <conditionalFormatting sqref="AH32">
    <cfRule type="cellIs" dxfId="198" priority="47" operator="lessThanOrEqual">
      <formula>$C$1048543</formula>
    </cfRule>
  </conditionalFormatting>
  <conditionalFormatting sqref="AB32">
    <cfRule type="cellIs" dxfId="197" priority="42" stopIfTrue="1" operator="lessThanOrEqual">
      <formula>NOW()+30</formula>
    </cfRule>
  </conditionalFormatting>
  <conditionalFormatting sqref="Q30 AE30 AB30 X30">
    <cfRule type="cellIs" dxfId="196" priority="39" stopIfTrue="1" operator="lessThanOrEqual">
      <formula>NOW()+30</formula>
    </cfRule>
  </conditionalFormatting>
  <conditionalFormatting sqref="C30:N30">
    <cfRule type="cellIs" dxfId="195" priority="40" operator="lessThanOrEqual">
      <formula>$C$1048540</formula>
    </cfRule>
  </conditionalFormatting>
  <conditionalFormatting sqref="P30">
    <cfRule type="cellIs" dxfId="194" priority="38" operator="lessThanOrEqual">
      <formula>$C$1048540</formula>
    </cfRule>
  </conditionalFormatting>
  <conditionalFormatting sqref="R30:S30">
    <cfRule type="cellIs" dxfId="193" priority="37" operator="lessThanOrEqual">
      <formula>$C$1048540</formula>
    </cfRule>
  </conditionalFormatting>
  <conditionalFormatting sqref="T30">
    <cfRule type="cellIs" dxfId="192" priority="36" operator="lessThanOrEqual">
      <formula>$C$1048540</formula>
    </cfRule>
  </conditionalFormatting>
  <conditionalFormatting sqref="AF30:AG30">
    <cfRule type="cellIs" dxfId="191" priority="34" stopIfTrue="1" operator="lessThanOrEqual">
      <formula>NOW()+30</formula>
    </cfRule>
  </conditionalFormatting>
  <conditionalFormatting sqref="AH30">
    <cfRule type="cellIs" dxfId="190" priority="35" operator="lessThanOrEqual">
      <formula>$C$1048540</formula>
    </cfRule>
  </conditionalFormatting>
  <conditionalFormatting sqref="Q31 X31">
    <cfRule type="cellIs" dxfId="189" priority="32" stopIfTrue="1" operator="lessThanOrEqual">
      <formula>NOW()+30</formula>
    </cfRule>
  </conditionalFormatting>
  <conditionalFormatting sqref="AL31:AN31">
    <cfRule type="cellIs" dxfId="188" priority="33" operator="lessThanOrEqual">
      <formula>$C$1048540</formula>
    </cfRule>
  </conditionalFormatting>
  <conditionalFormatting sqref="AE31">
    <cfRule type="cellIs" dxfId="187" priority="30" stopIfTrue="1" operator="lessThanOrEqual">
      <formula>NOW()+30</formula>
    </cfRule>
  </conditionalFormatting>
  <conditionalFormatting sqref="Z31">
    <cfRule type="cellIs" dxfId="186" priority="29" operator="lessThanOrEqual">
      <formula>$C$1048540</formula>
    </cfRule>
  </conditionalFormatting>
  <conditionalFormatting sqref="AA31">
    <cfRule type="cellIs" dxfId="185" priority="28" operator="lessThanOrEqual">
      <formula>$C$1048540</formula>
    </cfRule>
  </conditionalFormatting>
  <conditionalFormatting sqref="AO31">
    <cfRule type="cellIs" dxfId="184" priority="27" operator="lessThanOrEqual">
      <formula>$C$1048540</formula>
    </cfRule>
  </conditionalFormatting>
  <conditionalFormatting sqref="P31">
    <cfRule type="cellIs" dxfId="183" priority="26" operator="lessThanOrEqual">
      <formula>$C$1048540</formula>
    </cfRule>
  </conditionalFormatting>
  <conditionalFormatting sqref="R31:S31">
    <cfRule type="cellIs" dxfId="182" priority="25" operator="lessThanOrEqual">
      <formula>$C$1048540</formula>
    </cfRule>
  </conditionalFormatting>
  <conditionalFormatting sqref="T31">
    <cfRule type="cellIs" dxfId="181" priority="24" operator="lessThanOrEqual">
      <formula>$C$1048540</formula>
    </cfRule>
  </conditionalFormatting>
  <conditionalFormatting sqref="AF31:AG31">
    <cfRule type="cellIs" dxfId="180" priority="21" stopIfTrue="1" operator="lessThanOrEqual">
      <formula>NOW()+30</formula>
    </cfRule>
  </conditionalFormatting>
  <conditionalFormatting sqref="AH31">
    <cfRule type="cellIs" dxfId="179" priority="22" operator="lessThanOrEqual">
      <formula>$C$1048543</formula>
    </cfRule>
  </conditionalFormatting>
  <conditionalFormatting sqref="AB31">
    <cfRule type="cellIs" dxfId="178" priority="20" stopIfTrue="1" operator="lessThanOrEqual">
      <formula>NOW()+30</formula>
    </cfRule>
  </conditionalFormatting>
  <conditionalFormatting sqref="T32">
    <cfRule type="cellIs" dxfId="177" priority="19" operator="lessThanOrEqual">
      <formula>$C$1048540</formula>
    </cfRule>
  </conditionalFormatting>
  <conditionalFormatting sqref="AO20">
    <cfRule type="cellIs" dxfId="176" priority="15" operator="lessThanOrEqual">
      <formula>$C$1048540</formula>
    </cfRule>
  </conditionalFormatting>
  <conditionalFormatting sqref="Y12">
    <cfRule type="cellIs" dxfId="175" priority="11" stopIfTrue="1" operator="lessThanOrEqual">
      <formula>NOW()+30</formula>
    </cfRule>
  </conditionalFormatting>
  <conditionalFormatting sqref="AB19 Q19 AE19:AG19 AI19 X19">
    <cfRule type="cellIs" dxfId="174" priority="9" stopIfTrue="1" operator="lessThanOrEqual">
      <formula>NOW()+30</formula>
    </cfRule>
  </conditionalFormatting>
  <conditionalFormatting sqref="AL19:AO19">
    <cfRule type="cellIs" dxfId="173" priority="10" operator="lessThanOrEqual">
      <formula>$C$1048540</formula>
    </cfRule>
  </conditionalFormatting>
  <conditionalFormatting sqref="X18 AI18 AE18:AG18 Q18 AB18">
    <cfRule type="cellIs" dxfId="172" priority="7" stopIfTrue="1" operator="lessThanOrEqual">
      <formula>NOW()+30</formula>
    </cfRule>
  </conditionalFormatting>
  <conditionalFormatting sqref="R18:U18">
    <cfRule type="cellIs" dxfId="171" priority="8" operator="lessThanOrEqual">
      <formula>$C$1048540</formula>
    </cfRule>
  </conditionalFormatting>
  <conditionalFormatting sqref="AE22">
    <cfRule type="cellIs" dxfId="170" priority="5" stopIfTrue="1" operator="lessThanOrEqual">
      <formula>NOW()+30</formula>
    </cfRule>
  </conditionalFormatting>
  <conditionalFormatting sqref="AD22">
    <cfRule type="cellIs" dxfId="169" priority="6" operator="lessThanOrEqual">
      <formula>$C$1048540</formula>
    </cfRule>
  </conditionalFormatting>
  <conditionalFormatting sqref="AE24">
    <cfRule type="cellIs" dxfId="168" priority="3" stopIfTrue="1" operator="lessThanOrEqual">
      <formula>NOW()+30</formula>
    </cfRule>
  </conditionalFormatting>
  <conditionalFormatting sqref="AD24">
    <cfRule type="cellIs" dxfId="167" priority="4" operator="lessThanOrEqual">
      <formula>$C$1048540</formula>
    </cfRule>
  </conditionalFormatting>
  <conditionalFormatting sqref="AE34">
    <cfRule type="cellIs" dxfId="166" priority="1" stopIfTrue="1" operator="lessThanOrEqual">
      <formula>NOW()+30</formula>
    </cfRule>
  </conditionalFormatting>
  <conditionalFormatting sqref="AD34">
    <cfRule type="cellIs" dxfId="165" priority="2" operator="lessThanOrEqual">
      <formula>$C$1048540</formula>
    </cfRule>
  </conditionalFormatting>
  <dataValidations count="2">
    <dataValidation type="list" allowBlank="1" showInputMessage="1" showErrorMessage="1" sqref="AJ8:AK13 AK17 AH8:AH35 AJ18:AK33" xr:uid="{00000000-0002-0000-0100-000001000000}">
      <formula1>$AT$9:$AT$12</formula1>
    </dataValidation>
    <dataValidation type="list" allowBlank="1" showInputMessage="1" showErrorMessage="1" sqref="AK14:AK16 AJ14:AJ17 AJ19" xr:uid="{00000000-0002-0000-0100-000002000000}">
      <formula1>$AS$9:$AS$12</formula1>
    </dataValidation>
  </dataValidations>
  <pageMargins left="0.25" right="0.25" top="0.75" bottom="0.75" header="0.3" footer="0.3"/>
  <pageSetup paperSize="8" scale="43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8000"/>
    <pageSetUpPr fitToPage="1"/>
  </sheetPr>
  <dimension ref="A1:V65"/>
  <sheetViews>
    <sheetView showGridLines="0" showZeros="0" view="pageBreakPreview" zoomScale="70" zoomScaleNormal="70" zoomScaleSheetLayoutView="70" workbookViewId="0">
      <selection activeCell="U16" sqref="U16"/>
    </sheetView>
  </sheetViews>
  <sheetFormatPr defaultColWidth="9.140625" defaultRowHeight="12.75"/>
  <cols>
    <col min="1" max="1" width="1.5703125" style="501" customWidth="1"/>
    <col min="2" max="2" width="6" style="502" customWidth="1"/>
    <col min="3" max="3" width="29.140625" style="502" customWidth="1"/>
    <col min="4" max="4" width="31.5703125" style="502" customWidth="1"/>
    <col min="5" max="5" width="13.140625" style="502" customWidth="1"/>
    <col min="6" max="6" width="18.140625" style="502" customWidth="1"/>
    <col min="7" max="7" width="13.28515625" style="505" bestFit="1" customWidth="1"/>
    <col min="8" max="8" width="16.28515625" style="504" customWidth="1"/>
    <col min="9" max="9" width="4.7109375" style="504" hidden="1" customWidth="1"/>
    <col min="10" max="10" width="8.85546875" style="504" customWidth="1"/>
    <col min="11" max="11" width="12.7109375" style="504" customWidth="1"/>
    <col min="12" max="12" width="15.140625" style="502" customWidth="1"/>
    <col min="13" max="13" width="15.7109375" style="502" customWidth="1"/>
    <col min="14" max="14" width="14.5703125" style="502" customWidth="1"/>
    <col min="15" max="16384" width="9.140625" style="501"/>
  </cols>
  <sheetData>
    <row r="1" spans="1:14" s="460" customFormat="1" ht="27" customHeight="1" thickBot="1">
      <c r="A1" s="865" t="s">
        <v>143</v>
      </c>
      <c r="B1" s="461"/>
      <c r="C1" s="461"/>
      <c r="D1" s="461"/>
      <c r="E1" s="461"/>
      <c r="F1" s="461"/>
      <c r="G1" s="462"/>
      <c r="H1" s="463"/>
      <c r="I1" s="463"/>
      <c r="J1" s="463"/>
      <c r="K1" s="463"/>
      <c r="L1" s="461"/>
      <c r="M1" s="461"/>
      <c r="N1" s="461"/>
    </row>
    <row r="2" spans="1:14" s="460" customFormat="1" ht="30" customHeight="1">
      <c r="A2" s="864"/>
      <c r="B2" s="1089" t="s">
        <v>88</v>
      </c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0"/>
      <c r="N2" s="1091"/>
    </row>
    <row r="3" spans="1:14" s="460" customFormat="1" ht="14.25" customHeight="1" thickBot="1">
      <c r="A3" s="858"/>
      <c r="B3" s="1092" t="s">
        <v>257</v>
      </c>
      <c r="C3" s="1093"/>
      <c r="D3" s="1093"/>
      <c r="E3" s="1093"/>
      <c r="F3" s="1093"/>
      <c r="G3" s="1093"/>
      <c r="H3" s="1093"/>
      <c r="I3" s="1093"/>
      <c r="J3" s="1093"/>
      <c r="K3" s="1093"/>
      <c r="L3" s="1093"/>
      <c r="M3" s="1093"/>
      <c r="N3" s="1094"/>
    </row>
    <row r="4" spans="1:14" s="468" customFormat="1" ht="13.5" customHeight="1">
      <c r="A4" s="464"/>
      <c r="B4" s="859"/>
      <c r="C4" s="465"/>
      <c r="D4" s="465"/>
      <c r="E4" s="465"/>
      <c r="F4" s="465"/>
      <c r="G4" s="466"/>
      <c r="H4" s="467"/>
      <c r="I4" s="467"/>
      <c r="J4" s="467"/>
      <c r="K4" s="467"/>
      <c r="L4" s="1112" t="s">
        <v>181</v>
      </c>
      <c r="M4" s="1113"/>
      <c r="N4" s="1114"/>
    </row>
    <row r="5" spans="1:14" s="468" customFormat="1" ht="18.75" customHeight="1" thickBot="1">
      <c r="A5" s="464"/>
      <c r="B5" s="1105"/>
      <c r="C5" s="1106"/>
      <c r="D5" s="1106"/>
      <c r="E5" s="860"/>
      <c r="F5" s="861" t="s">
        <v>87</v>
      </c>
      <c r="G5" s="862"/>
      <c r="H5" s="861"/>
      <c r="I5" s="863"/>
      <c r="J5" s="863"/>
      <c r="K5" s="863"/>
      <c r="L5" s="1115" t="s">
        <v>73</v>
      </c>
      <c r="M5" s="1116"/>
      <c r="N5" s="1117"/>
    </row>
    <row r="6" spans="1:14" s="473" customFormat="1" ht="18.95" customHeight="1" thickBot="1">
      <c r="A6" s="1111"/>
      <c r="B6" s="469" t="s">
        <v>238</v>
      </c>
      <c r="C6" s="470"/>
      <c r="D6" s="1107" t="str">
        <f>M.Menu!E3</f>
        <v>Energy Endurance</v>
      </c>
      <c r="E6" s="1107"/>
      <c r="F6" s="469" t="s">
        <v>82</v>
      </c>
      <c r="G6" s="471"/>
      <c r="H6" s="472"/>
      <c r="I6" s="1118" t="s">
        <v>210</v>
      </c>
      <c r="J6" s="1119"/>
      <c r="K6" s="1119"/>
      <c r="L6" s="1119"/>
      <c r="M6" s="1119"/>
      <c r="N6" s="1120"/>
    </row>
    <row r="7" spans="1:14" s="473" customFormat="1" ht="18.95" customHeight="1">
      <c r="A7" s="1111"/>
      <c r="B7" s="474" t="s">
        <v>250</v>
      </c>
      <c r="C7" s="475"/>
      <c r="D7" s="476" t="s">
        <v>231</v>
      </c>
      <c r="E7" s="477"/>
      <c r="F7" s="1108" t="str">
        <f>M.Menu!L11&amp;", "&amp;M.Menu!L12</f>
        <v>Sabine Pass, U.S.A.</v>
      </c>
      <c r="G7" s="1109"/>
      <c r="H7" s="1110"/>
      <c r="I7" s="1096">
        <f>M.Menu!L13</f>
        <v>46106</v>
      </c>
      <c r="J7" s="1097"/>
      <c r="K7" s="1097"/>
      <c r="L7" s="1097"/>
      <c r="M7" s="1097"/>
      <c r="N7" s="1098"/>
    </row>
    <row r="8" spans="1:14" s="473" customFormat="1" ht="18.95" customHeight="1">
      <c r="A8" s="1111"/>
      <c r="B8" s="474" t="s">
        <v>81</v>
      </c>
      <c r="C8" s="475"/>
      <c r="D8" s="478" t="str">
        <f>M.Menu!E4</f>
        <v>V7A7282</v>
      </c>
      <c r="E8" s="477"/>
      <c r="F8" s="1108" t="str">
        <f>M.Menu!E8&amp;", "&amp;M.Menu!E9</f>
        <v xml:space="preserve">NFE Transport Partners LLC, </v>
      </c>
      <c r="G8" s="1109"/>
      <c r="H8" s="1110"/>
      <c r="I8" s="1099"/>
      <c r="J8" s="1100"/>
      <c r="K8" s="1100"/>
      <c r="L8" s="1100"/>
      <c r="M8" s="1100"/>
      <c r="N8" s="1101"/>
    </row>
    <row r="9" spans="1:14" s="473" customFormat="1" ht="18.95" customHeight="1" thickBot="1">
      <c r="A9" s="1111"/>
      <c r="B9" s="479" t="s">
        <v>285</v>
      </c>
      <c r="C9" s="480"/>
      <c r="D9" s="481" t="str">
        <f>M.Menu!S13</f>
        <v>VOY16</v>
      </c>
      <c r="E9" s="482"/>
      <c r="F9" s="483"/>
      <c r="G9" s="484"/>
      <c r="H9" s="485"/>
      <c r="I9" s="1099"/>
      <c r="J9" s="1100"/>
      <c r="K9" s="1100"/>
      <c r="L9" s="1100"/>
      <c r="M9" s="1100"/>
      <c r="N9" s="1101"/>
    </row>
    <row r="10" spans="1:14" s="468" customFormat="1" ht="24" customHeight="1">
      <c r="A10" s="1111"/>
      <c r="B10" s="486" t="s">
        <v>84</v>
      </c>
      <c r="C10" s="487"/>
      <c r="D10" s="488"/>
      <c r="E10" s="489"/>
      <c r="F10" s="486" t="s">
        <v>85</v>
      </c>
      <c r="G10" s="490"/>
      <c r="H10" s="529"/>
      <c r="I10" s="1099"/>
      <c r="J10" s="1100"/>
      <c r="K10" s="1100"/>
      <c r="L10" s="1100"/>
      <c r="M10" s="1100"/>
      <c r="N10" s="1101"/>
    </row>
    <row r="11" spans="1:14" s="491" customFormat="1" ht="24" customHeight="1" thickBot="1">
      <c r="A11" s="1111"/>
      <c r="B11" s="1134" t="str">
        <f>M.Menu!L8</f>
        <v>Marshall Islands</v>
      </c>
      <c r="C11" s="1135"/>
      <c r="D11" s="1135"/>
      <c r="E11" s="1135"/>
      <c r="F11" s="1136" t="str">
        <f>M.Menu!E11&amp;", "&amp;M.Menu!E12</f>
        <v>BARCARENA, BRAZIL</v>
      </c>
      <c r="G11" s="1137"/>
      <c r="H11" s="1138"/>
      <c r="I11" s="1102"/>
      <c r="J11" s="1103"/>
      <c r="K11" s="1103"/>
      <c r="L11" s="1103"/>
      <c r="M11" s="1103"/>
      <c r="N11" s="1104"/>
    </row>
    <row r="12" spans="1:14" s="493" customFormat="1" ht="17.100000000000001" customHeight="1">
      <c r="A12" s="1111"/>
      <c r="B12" s="1123" t="s">
        <v>241</v>
      </c>
      <c r="C12" s="1123" t="s">
        <v>242</v>
      </c>
      <c r="D12" s="1123" t="s">
        <v>243</v>
      </c>
      <c r="E12" s="1143" t="s">
        <v>361</v>
      </c>
      <c r="F12" s="1141" t="s">
        <v>86</v>
      </c>
      <c r="G12" s="1121" t="s">
        <v>240</v>
      </c>
      <c r="H12" s="1121" t="s">
        <v>239</v>
      </c>
      <c r="I12" s="492"/>
      <c r="J12" s="1139" t="s">
        <v>244</v>
      </c>
      <c r="K12" s="1126" t="s">
        <v>252</v>
      </c>
      <c r="L12" s="1126" t="s">
        <v>253</v>
      </c>
      <c r="M12" s="1126" t="s">
        <v>254</v>
      </c>
      <c r="N12" s="1126" t="s">
        <v>255</v>
      </c>
    </row>
    <row r="13" spans="1:14" s="493" customFormat="1" ht="17.100000000000001" customHeight="1" thickBot="1">
      <c r="A13" s="1111"/>
      <c r="B13" s="1125"/>
      <c r="C13" s="1124"/>
      <c r="D13" s="1124"/>
      <c r="E13" s="1144"/>
      <c r="F13" s="1142"/>
      <c r="G13" s="1122"/>
      <c r="H13" s="1122"/>
      <c r="I13" s="494"/>
      <c r="J13" s="1140"/>
      <c r="K13" s="1128"/>
      <c r="L13" s="1128"/>
      <c r="M13" s="1127"/>
      <c r="N13" s="1128"/>
    </row>
    <row r="14" spans="1:14" s="495" customFormat="1" ht="52.5" customHeight="1" thickBot="1">
      <c r="A14" s="1111"/>
      <c r="B14" s="640">
        <f>'DataBase (IMO form)'!B8</f>
        <v>1</v>
      </c>
      <c r="C14" s="641" t="str">
        <f>'DataBase (IMO form)'!D8</f>
        <v xml:space="preserve">WENDT </v>
      </c>
      <c r="D14" s="641" t="str">
        <f>'DataBase (IMO form)'!E8</f>
        <v>ROBERT KRZYSZTOF</v>
      </c>
      <c r="E14" s="642" t="str">
        <f>'DataBase (IMO form)'!C8</f>
        <v>MASTER</v>
      </c>
      <c r="F14" s="642" t="str">
        <f>'DataBase (IMO form)'!L8</f>
        <v>POLISH</v>
      </c>
      <c r="G14" s="876">
        <f>'DataBase (IMO form)'!I8</f>
        <v>31616</v>
      </c>
      <c r="H14" s="644" t="str">
        <f>'DataBase (IMO form)'!K8</f>
        <v>GDANSK</v>
      </c>
      <c r="I14" s="644" t="e">
        <v>#REF!</v>
      </c>
      <c r="J14" s="644" t="str">
        <f>'DataBase (IMO form)'!H8</f>
        <v>M</v>
      </c>
      <c r="K14" s="644" t="s">
        <v>256</v>
      </c>
      <c r="L14" s="877" t="str">
        <f>'DataBase (IMO form)'!W8</f>
        <v>EK 0855330</v>
      </c>
      <c r="M14" s="874" t="str">
        <f>'DataBase (IMO form)'!Y8</f>
        <v>WOJEWODA, POMORSKI</v>
      </c>
      <c r="N14" s="875">
        <f>'DataBase (IMO form)'!X8</f>
        <v>46330</v>
      </c>
    </row>
    <row r="15" spans="1:14" s="495" customFormat="1" ht="39" customHeight="1" thickBot="1">
      <c r="A15" s="1111"/>
      <c r="B15" s="640">
        <f>'DataBase (IMO form)'!B9</f>
        <v>2</v>
      </c>
      <c r="C15" s="641" t="str">
        <f>'DataBase (IMO form)'!D9</f>
        <v>THANASIS</v>
      </c>
      <c r="D15" s="641" t="str">
        <f>'DataBase (IMO form)'!E9</f>
        <v>EVANGELOS</v>
      </c>
      <c r="E15" s="642" t="str">
        <f>'DataBase (IMO form)'!C9</f>
        <v>CHIEF OFF</v>
      </c>
      <c r="F15" s="642" t="str">
        <f>'DataBase (IMO form)'!L9</f>
        <v>HELLENIC</v>
      </c>
      <c r="G15" s="876">
        <f>'DataBase (IMO form)'!I9</f>
        <v>34373</v>
      </c>
      <c r="H15" s="644" t="str">
        <f>'DataBase (IMO form)'!K9</f>
        <v>KERKYRA</v>
      </c>
      <c r="I15" s="644" t="e">
        <v>#REF!</v>
      </c>
      <c r="J15" s="644" t="str">
        <f>'DataBase (IMO form)'!H9</f>
        <v>M</v>
      </c>
      <c r="K15" s="644" t="s">
        <v>256</v>
      </c>
      <c r="L15" s="877" t="str">
        <f>'DataBase (IMO form)'!W9</f>
        <v>BA8948788</v>
      </c>
      <c r="M15" s="874" t="str">
        <f>'DataBase (IMO form)'!Y9</f>
        <v>KERKYRA</v>
      </c>
      <c r="N15" s="875">
        <f>'DataBase (IMO form)'!X9</f>
        <v>49542</v>
      </c>
    </row>
    <row r="16" spans="1:14" s="495" customFormat="1" ht="39" customHeight="1" thickBot="1">
      <c r="A16" s="1111"/>
      <c r="B16" s="640">
        <f>'DataBase (IMO form)'!B10</f>
        <v>3</v>
      </c>
      <c r="C16" s="641" t="str">
        <f>'DataBase (IMO form)'!D10</f>
        <v>TEJU</v>
      </c>
      <c r="D16" s="641" t="str">
        <f>'DataBase (IMO form)'!E10</f>
        <v>TOMA</v>
      </c>
      <c r="E16" s="642" t="str">
        <f>'DataBase (IMO form)'!C10</f>
        <v>TR CHIEF OFF</v>
      </c>
      <c r="F16" s="642" t="str">
        <f>'DataBase (IMO form)'!L10</f>
        <v>ROMANIAN</v>
      </c>
      <c r="G16" s="876">
        <f>'DataBase (IMO form)'!I10</f>
        <v>32970</v>
      </c>
      <c r="H16" s="644" t="str">
        <f>'DataBase (IMO form)'!K10</f>
        <v>COSTANTA</v>
      </c>
      <c r="I16" s="644" t="e">
        <v>#REF!</v>
      </c>
      <c r="J16" s="644" t="str">
        <f>'DataBase (IMO form)'!H10</f>
        <v>M</v>
      </c>
      <c r="K16" s="644" t="s">
        <v>256</v>
      </c>
      <c r="L16" s="877" t="str">
        <f>'DataBase (IMO form)'!W10</f>
        <v>059130390</v>
      </c>
      <c r="M16" s="874" t="str">
        <f>'DataBase (IMO form)'!Y10</f>
        <v>CONSTANTA</v>
      </c>
      <c r="N16" s="875">
        <f>'DataBase (IMO form)'!X10</f>
        <v>47775</v>
      </c>
    </row>
    <row r="17" spans="1:22" s="495" customFormat="1" ht="39" customHeight="1" thickBot="1">
      <c r="A17" s="1111"/>
      <c r="B17" s="640">
        <f>'DataBase (IMO form)'!B11</f>
        <v>4</v>
      </c>
      <c r="C17" s="641" t="str">
        <f>'DataBase (IMO form)'!D11</f>
        <v>BUTS</v>
      </c>
      <c r="D17" s="641" t="str">
        <f>'DataBase (IMO form)'!E11</f>
        <v>KOSTIANTYN</v>
      </c>
      <c r="E17" s="642" t="str">
        <f>'DataBase (IMO form)'!C11</f>
        <v>2ND OFF</v>
      </c>
      <c r="F17" s="642" t="str">
        <f>'DataBase (IMO form)'!L11</f>
        <v>UKRAINIAN</v>
      </c>
      <c r="G17" s="876">
        <f>'DataBase (IMO form)'!I11</f>
        <v>31971</v>
      </c>
      <c r="H17" s="644" t="str">
        <f>'DataBase (IMO form)'!K11</f>
        <v>UKRAINE</v>
      </c>
      <c r="I17" s="644" t="e">
        <v>#REF!</v>
      </c>
      <c r="J17" s="644" t="str">
        <f>'DataBase (IMO form)'!H11</f>
        <v>M</v>
      </c>
      <c r="K17" s="644" t="s">
        <v>256</v>
      </c>
      <c r="L17" s="877" t="str">
        <f>'DataBase (IMO form)'!W11</f>
        <v>GL504758</v>
      </c>
      <c r="M17" s="874" t="str">
        <f>'DataBase (IMO form)'!Y11</f>
        <v>2110</v>
      </c>
      <c r="N17" s="875">
        <f>'DataBase (IMO form)'!X11</f>
        <v>49422</v>
      </c>
    </row>
    <row r="18" spans="1:22" s="495" customFormat="1" ht="39" customHeight="1" thickBot="1">
      <c r="A18" s="1111"/>
      <c r="B18" s="640">
        <f>'DataBase (IMO form)'!B12</f>
        <v>5</v>
      </c>
      <c r="C18" s="641" t="str">
        <f>'DataBase (IMO form)'!D12</f>
        <v xml:space="preserve">STAMATIOU </v>
      </c>
      <c r="D18" s="641" t="str">
        <f>'DataBase (IMO form)'!E12</f>
        <v>VASILEIOS</v>
      </c>
      <c r="E18" s="642" t="str">
        <f>'DataBase (IMO form)'!C12</f>
        <v>3RD OFF</v>
      </c>
      <c r="F18" s="642" t="str">
        <f>'DataBase (IMO form)'!L12</f>
        <v>HELLENIC</v>
      </c>
      <c r="G18" s="876">
        <f>'DataBase (IMO form)'!I12</f>
        <v>37225</v>
      </c>
      <c r="H18" s="644" t="str">
        <f>'DataBase (IMO form)'!K12</f>
        <v>MAROUSI</v>
      </c>
      <c r="I18" s="644" t="e">
        <v>#REF!</v>
      </c>
      <c r="J18" s="644" t="str">
        <f>'DataBase (IMO form)'!H12</f>
        <v>M</v>
      </c>
      <c r="K18" s="644" t="s">
        <v>256</v>
      </c>
      <c r="L18" s="877" t="str">
        <f>'DataBase (IMO form)'!W12</f>
        <v>AY1388281</v>
      </c>
      <c r="M18" s="874" t="str">
        <f>'DataBase (IMO form)'!Y12</f>
        <v>N.P.C.</v>
      </c>
      <c r="N18" s="875">
        <f>'DataBase (IMO form)'!X12</f>
        <v>48562</v>
      </c>
    </row>
    <row r="19" spans="1:22" s="495" customFormat="1" ht="39" customHeight="1" thickBot="1">
      <c r="A19" s="1111"/>
      <c r="B19" s="640">
        <f>'DataBase (IMO form)'!B13</f>
        <v>6</v>
      </c>
      <c r="C19" s="641" t="str">
        <f>'DataBase (IMO form)'!D13</f>
        <v>KOUIMOV</v>
      </c>
      <c r="D19" s="641" t="str">
        <f>'DataBase (IMO form)'!E13</f>
        <v>ENTOUARNT OR EDUARD</v>
      </c>
      <c r="E19" s="642" t="str">
        <f>'DataBase (IMO form)'!C13</f>
        <v xml:space="preserve">3RD OFF </v>
      </c>
      <c r="F19" s="642" t="str">
        <f>'DataBase (IMO form)'!L13</f>
        <v>HELLENIC</v>
      </c>
      <c r="G19" s="876">
        <f>'DataBase (IMO form)'!I13</f>
        <v>36547</v>
      </c>
      <c r="H19" s="644" t="str">
        <f>'DataBase (IMO form)'!K13</f>
        <v>NAKHODKA</v>
      </c>
      <c r="I19" s="644" t="e">
        <v>#REF!</v>
      </c>
      <c r="J19" s="644" t="str">
        <f>'DataBase (IMO form)'!H13</f>
        <v>M</v>
      </c>
      <c r="K19" s="644" t="s">
        <v>256</v>
      </c>
      <c r="L19" s="877" t="str">
        <f>'DataBase (IMO form)'!W13</f>
        <v>AY4667152</v>
      </c>
      <c r="M19" s="874" t="str">
        <f>'DataBase (IMO form)'!Y13</f>
        <v>N.P.C.</v>
      </c>
      <c r="N19" s="875">
        <f>'DataBase (IMO form)'!X13</f>
        <v>48777</v>
      </c>
      <c r="V19" s="496"/>
    </row>
    <row r="20" spans="1:22" s="495" customFormat="1" ht="39" customHeight="1" thickBot="1">
      <c r="A20" s="1111"/>
      <c r="B20" s="640">
        <f>'DataBase (IMO form)'!B14</f>
        <v>7</v>
      </c>
      <c r="C20" s="641" t="str">
        <f>'DataBase (IMO form)'!D14</f>
        <v>CHATZIDIMITRIOU</v>
      </c>
      <c r="D20" s="641" t="str">
        <f>'DataBase (IMO form)'!E14</f>
        <v>MARIA</v>
      </c>
      <c r="E20" s="642" t="str">
        <f>'DataBase (IMO form)'!C14</f>
        <v>DECK CADET</v>
      </c>
      <c r="F20" s="642" t="str">
        <f>'DataBase (IMO form)'!L14</f>
        <v>HELLENIC</v>
      </c>
      <c r="G20" s="876">
        <f>'DataBase (IMO form)'!I14</f>
        <v>37644</v>
      </c>
      <c r="H20" s="644" t="str">
        <f>'DataBase (IMO form)'!K14</f>
        <v>THESSALONIKI</v>
      </c>
      <c r="I20" s="644" t="e">
        <v>#REF!</v>
      </c>
      <c r="J20" s="644" t="str">
        <f>'DataBase (IMO form)'!H14</f>
        <v>F</v>
      </c>
      <c r="K20" s="644" t="s">
        <v>256</v>
      </c>
      <c r="L20" s="877" t="str">
        <f>'DataBase (IMO form)'!W14</f>
        <v>AT5546138</v>
      </c>
      <c r="M20" s="874" t="str">
        <f>'DataBase (IMO form)'!Y14</f>
        <v>N.P.C.</v>
      </c>
      <c r="N20" s="875">
        <f>'DataBase (IMO form)'!X14</f>
        <v>46511</v>
      </c>
    </row>
    <row r="21" spans="1:22" s="495" customFormat="1" ht="39" customHeight="1" thickBot="1">
      <c r="A21" s="1111"/>
      <c r="B21" s="640">
        <f>'DataBase (IMO form)'!B15</f>
        <v>8</v>
      </c>
      <c r="C21" s="641" t="str">
        <f>'DataBase (IMO form)'!D15</f>
        <v xml:space="preserve">PETROPOULOS </v>
      </c>
      <c r="D21" s="641" t="str">
        <f>'DataBase (IMO form)'!E15</f>
        <v>CHRISTOS</v>
      </c>
      <c r="E21" s="642" t="str">
        <f>'DataBase (IMO form)'!C15</f>
        <v>CHIEF ENG</v>
      </c>
      <c r="F21" s="642" t="str">
        <f>'DataBase (IMO form)'!L15</f>
        <v>HELLENIC</v>
      </c>
      <c r="G21" s="876">
        <f>'DataBase (IMO form)'!I15</f>
        <v>24483</v>
      </c>
      <c r="H21" s="644" t="str">
        <f>'DataBase (IMO form)'!K15</f>
        <v>KOZANI</v>
      </c>
      <c r="I21" s="644" t="e">
        <v>#REF!</v>
      </c>
      <c r="J21" s="644" t="str">
        <f>'DataBase (IMO form)'!H15</f>
        <v>M</v>
      </c>
      <c r="K21" s="644" t="s">
        <v>256</v>
      </c>
      <c r="L21" s="877" t="str">
        <f>'DataBase (IMO form)'!W15</f>
        <v>BA2822002</v>
      </c>
      <c r="M21" s="874" t="str">
        <f>'DataBase (IMO form)'!Y15</f>
        <v>H.P.H./P.S.D.D.</v>
      </c>
      <c r="N21" s="875">
        <f>'DataBase (IMO form)'!X15</f>
        <v>49133</v>
      </c>
    </row>
    <row r="22" spans="1:22" s="495" customFormat="1" ht="39" customHeight="1" thickBot="1">
      <c r="A22" s="1111"/>
      <c r="B22" s="640">
        <f>'DataBase (IMO form)'!B16</f>
        <v>9</v>
      </c>
      <c r="C22" s="641" t="str">
        <f>'DataBase (IMO form)'!D16</f>
        <v>SYTNYK</v>
      </c>
      <c r="D22" s="641" t="str">
        <f>'DataBase (IMO form)'!E16</f>
        <v xml:space="preserve">YEVGENIY </v>
      </c>
      <c r="E22" s="642" t="str">
        <f>'DataBase (IMO form)'!C16</f>
        <v>2ND ENG</v>
      </c>
      <c r="F22" s="642" t="str">
        <f>'DataBase (IMO form)'!L16</f>
        <v xml:space="preserve">UKRAINIAN </v>
      </c>
      <c r="G22" s="876">
        <f>'DataBase (IMO form)'!I16</f>
        <v>32852</v>
      </c>
      <c r="H22" s="644" t="str">
        <f>'DataBase (IMO form)'!K16</f>
        <v>ODESSA</v>
      </c>
      <c r="I22" s="644" t="e">
        <v>#REF!</v>
      </c>
      <c r="J22" s="644" t="str">
        <f>'DataBase (IMO form)'!H16</f>
        <v>M</v>
      </c>
      <c r="K22" s="644" t="s">
        <v>256</v>
      </c>
      <c r="L22" s="877" t="str">
        <f>'DataBase (IMO form)'!W16</f>
        <v>GD461450</v>
      </c>
      <c r="M22" s="874" t="str">
        <f>'DataBase (IMO form)'!Y16</f>
        <v>5116</v>
      </c>
      <c r="N22" s="875">
        <f>'DataBase (IMO form)'!X16</f>
        <v>48424</v>
      </c>
    </row>
    <row r="23" spans="1:22" s="495" customFormat="1" ht="39" customHeight="1" thickBot="1">
      <c r="A23" s="1111"/>
      <c r="B23" s="640">
        <f>'DataBase (IMO form)'!B17</f>
        <v>10</v>
      </c>
      <c r="C23" s="641" t="str">
        <f>'DataBase (IMO form)'!D17</f>
        <v>KACHUR</v>
      </c>
      <c r="D23" s="641" t="str">
        <f>'DataBase (IMO form)'!E17</f>
        <v>MYKOLA</v>
      </c>
      <c r="E23" s="642" t="str">
        <f>'DataBase (IMO form)'!C17</f>
        <v>3RD ENG</v>
      </c>
      <c r="F23" s="642" t="str">
        <f>'DataBase (IMO form)'!L17</f>
        <v>UKRAINIAN</v>
      </c>
      <c r="G23" s="876">
        <f>'DataBase (IMO form)'!I17</f>
        <v>35418</v>
      </c>
      <c r="H23" s="644" t="str">
        <f>'DataBase (IMO form)'!K17</f>
        <v>UKRAINE</v>
      </c>
      <c r="I23" s="644" t="e">
        <v>#REF!</v>
      </c>
      <c r="J23" s="644" t="str">
        <f>'DataBase (IMO form)'!H17</f>
        <v>M</v>
      </c>
      <c r="K23" s="644" t="s">
        <v>256</v>
      </c>
      <c r="L23" s="877" t="str">
        <f>'DataBase (IMO form)'!W17</f>
        <v>FS151214</v>
      </c>
      <c r="M23" s="874" t="str">
        <f>'DataBase (IMO form)'!Y17</f>
        <v>6512</v>
      </c>
      <c r="N23" s="875">
        <f>'DataBase (IMO form)'!X17</f>
        <v>46978</v>
      </c>
    </row>
    <row r="24" spans="1:22" s="495" customFormat="1" ht="39" customHeight="1" thickBot="1">
      <c r="A24" s="1111"/>
      <c r="B24" s="640">
        <f>'DataBase (IMO form)'!B18</f>
        <v>11</v>
      </c>
      <c r="C24" s="641" t="str">
        <f>'DataBase (IMO form)'!D18</f>
        <v>COLEASA</v>
      </c>
      <c r="D24" s="641" t="str">
        <f>'DataBase (IMO form)'!E18</f>
        <v>STEFAN  CIPRIAN</v>
      </c>
      <c r="E24" s="642" t="str">
        <f>'DataBase (IMO form)'!C18</f>
        <v>3RD ENG</v>
      </c>
      <c r="F24" s="642" t="str">
        <f>'DataBase (IMO form)'!L18</f>
        <v>ROMANIAN</v>
      </c>
      <c r="G24" s="876">
        <f>'DataBase (IMO form)'!I18</f>
        <v>33966</v>
      </c>
      <c r="H24" s="644" t="str">
        <f>'DataBase (IMO form)'!K18</f>
        <v>CONSTANTA</v>
      </c>
      <c r="I24" s="644" t="e">
        <v>#REF!</v>
      </c>
      <c r="J24" s="644" t="str">
        <f>'DataBase (IMO form)'!H18</f>
        <v>M</v>
      </c>
      <c r="K24" s="644" t="s">
        <v>256</v>
      </c>
      <c r="L24" s="877" t="str">
        <f>'DataBase (IMO form)'!W18</f>
        <v>063513795</v>
      </c>
      <c r="M24" s="874" t="str">
        <f>'DataBase (IMO form)'!Y18</f>
        <v>CONSTANTA</v>
      </c>
      <c r="N24" s="875">
        <f>'DataBase (IMO form)'!X18</f>
        <v>48638</v>
      </c>
      <c r="Q24" s="495" t="s">
        <v>143</v>
      </c>
    </row>
    <row r="25" spans="1:22" s="497" customFormat="1" ht="39" customHeight="1" thickBot="1">
      <c r="A25" s="1111"/>
      <c r="B25" s="640">
        <f>'DataBase (IMO form)'!B19</f>
        <v>12</v>
      </c>
      <c r="C25" s="641" t="str">
        <f>'DataBase (IMO form)'!D19</f>
        <v xml:space="preserve">LOFTSALIS </v>
      </c>
      <c r="D25" s="641" t="str">
        <f>'DataBase (IMO form)'!E19</f>
        <v>APOSTOLOS</v>
      </c>
      <c r="E25" s="642" t="str">
        <f>'DataBase (IMO form)'!C19</f>
        <v>4TH ENG</v>
      </c>
      <c r="F25" s="642" t="str">
        <f>'DataBase (IMO form)'!L19</f>
        <v>HELLENIC</v>
      </c>
      <c r="G25" s="876">
        <f>'DataBase (IMO form)'!I19</f>
        <v>37555</v>
      </c>
      <c r="H25" s="644" t="str">
        <f>'DataBase (IMO form)'!K19</f>
        <v>KOZANI</v>
      </c>
      <c r="I25" s="644" t="e">
        <v>#REF!</v>
      </c>
      <c r="J25" s="644" t="str">
        <f>'DataBase (IMO form)'!H19</f>
        <v>M</v>
      </c>
      <c r="K25" s="644" t="s">
        <v>256</v>
      </c>
      <c r="L25" s="877" t="str">
        <f>'DataBase (IMO form)'!W19</f>
        <v>BB0444273</v>
      </c>
      <c r="M25" s="874" t="str">
        <f>'DataBase (IMO form)'!Y19</f>
        <v>H.P.H./P.S.D.D.</v>
      </c>
      <c r="N25" s="875">
        <f>'DataBase (IMO form)'!X19</f>
        <v>49626</v>
      </c>
    </row>
    <row r="26" spans="1:22" s="497" customFormat="1" ht="39" customHeight="1" thickBot="1">
      <c r="A26" s="1111"/>
      <c r="B26" s="640">
        <f>'DataBase (IMO form)'!B20</f>
        <v>13</v>
      </c>
      <c r="C26" s="641" t="str">
        <f>'DataBase (IMO form)'!D20</f>
        <v>YEMELIANOV</v>
      </c>
      <c r="D26" s="641" t="str">
        <f>'DataBase (IMO form)'!E20</f>
        <v>RICHARD</v>
      </c>
      <c r="E26" s="642" t="str">
        <f>'DataBase (IMO form)'!C20</f>
        <v xml:space="preserve">GAS ENG </v>
      </c>
      <c r="F26" s="642" t="str">
        <f>'DataBase (IMO form)'!L20</f>
        <v>UKRAINIAN</v>
      </c>
      <c r="G26" s="876">
        <f>'DataBase (IMO form)'!I20</f>
        <v>32955</v>
      </c>
      <c r="H26" s="644" t="str">
        <f>'DataBase (IMO form)'!K20</f>
        <v>UKRAINE</v>
      </c>
      <c r="I26" s="644" t="e">
        <v>#REF!</v>
      </c>
      <c r="J26" s="644" t="str">
        <f>'DataBase (IMO form)'!H20</f>
        <v>M</v>
      </c>
      <c r="K26" s="644" t="s">
        <v>256</v>
      </c>
      <c r="L26" s="877" t="str">
        <f>'DataBase (IMO form)'!W20</f>
        <v>FJ899634</v>
      </c>
      <c r="M26" s="874" t="str">
        <f>'DataBase (IMO form)'!Y20</f>
        <v>5101</v>
      </c>
      <c r="N26" s="875">
        <f>'DataBase (IMO form)'!X20</f>
        <v>46699</v>
      </c>
    </row>
    <row r="27" spans="1:22" s="497" customFormat="1" ht="39" customHeight="1" thickBot="1">
      <c r="A27" s="1095"/>
      <c r="B27" s="640">
        <f>'DataBase (IMO form)'!B21</f>
        <v>14</v>
      </c>
      <c r="C27" s="641" t="str">
        <f>'DataBase (IMO form)'!D21</f>
        <v>GIDEI</v>
      </c>
      <c r="D27" s="641" t="str">
        <f>'DataBase (IMO form)'!E21</f>
        <v>NICOLAE</v>
      </c>
      <c r="E27" s="642" t="str">
        <f>'DataBase (IMO form)'!C21</f>
        <v>SETO</v>
      </c>
      <c r="F27" s="642" t="str">
        <f>'DataBase (IMO form)'!L21</f>
        <v>ROMANIAN</v>
      </c>
      <c r="G27" s="876">
        <f>'DataBase (IMO form)'!I21</f>
        <v>27720</v>
      </c>
      <c r="H27" s="644" t="str">
        <f>'DataBase (IMO form)'!K21</f>
        <v>GALATI</v>
      </c>
      <c r="I27" s="644" t="e">
        <v>#REF!</v>
      </c>
      <c r="J27" s="644" t="str">
        <f>'DataBase (IMO form)'!H21</f>
        <v>M</v>
      </c>
      <c r="K27" s="644" t="s">
        <v>256</v>
      </c>
      <c r="L27" s="877" t="str">
        <f>'DataBase (IMO form)'!W21</f>
        <v>056799980</v>
      </c>
      <c r="M27" s="874" t="str">
        <f>'DataBase (IMO form)'!Y21</f>
        <v>GALATI</v>
      </c>
      <c r="N27" s="875">
        <f>'DataBase (IMO form)'!X21</f>
        <v>47104</v>
      </c>
    </row>
    <row r="28" spans="1:22" s="497" customFormat="1" ht="39" customHeight="1" thickBot="1">
      <c r="A28" s="1095"/>
      <c r="B28" s="640">
        <f>'DataBase (IMO form)'!B22</f>
        <v>15</v>
      </c>
      <c r="C28" s="641" t="str">
        <f>'DataBase (IMO form)'!D22</f>
        <v>LADINES</v>
      </c>
      <c r="D28" s="641" t="str">
        <f>'DataBase (IMO form)'!E22</f>
        <v>RODOLFO JR.</v>
      </c>
      <c r="E28" s="642" t="str">
        <f>'DataBase (IMO form)'!C22</f>
        <v>BOSUN</v>
      </c>
      <c r="F28" s="642" t="str">
        <f>'DataBase (IMO form)'!L22</f>
        <v>FILIPINO</v>
      </c>
      <c r="G28" s="876">
        <f>'DataBase (IMO form)'!I22</f>
        <v>29241</v>
      </c>
      <c r="H28" s="644" t="str">
        <f>'DataBase (IMO form)'!K22</f>
        <v>SAMPALOC QUEZON</v>
      </c>
      <c r="I28" s="644" t="e">
        <v>#REF!</v>
      </c>
      <c r="J28" s="644" t="str">
        <f>'DataBase (IMO form)'!H22</f>
        <v>M</v>
      </c>
      <c r="K28" s="644" t="s">
        <v>256</v>
      </c>
      <c r="L28" s="877" t="str">
        <f>'DataBase (IMO form)'!W22</f>
        <v>P9127792B</v>
      </c>
      <c r="M28" s="874" t="str">
        <f>'DataBase (IMO form)'!Y22</f>
        <v xml:space="preserve">DFA LUCENA </v>
      </c>
      <c r="N28" s="875">
        <f>'DataBase (IMO form)'!X22</f>
        <v>48275</v>
      </c>
    </row>
    <row r="29" spans="1:22" s="497" customFormat="1" ht="39" customHeight="1" thickBot="1">
      <c r="A29" s="1095"/>
      <c r="B29" s="640">
        <f>'DataBase (IMO form)'!B23</f>
        <v>16</v>
      </c>
      <c r="C29" s="641" t="str">
        <f>'DataBase (IMO form)'!D23</f>
        <v xml:space="preserve">LUPAZ </v>
      </c>
      <c r="D29" s="641" t="str">
        <f>'DataBase (IMO form)'!E23</f>
        <v>ALBERTO JR.</v>
      </c>
      <c r="E29" s="642" t="str">
        <f>'DataBase (IMO form)'!C23</f>
        <v>AB</v>
      </c>
      <c r="F29" s="642" t="str">
        <f>'DataBase (IMO form)'!L23</f>
        <v>FILIPINO</v>
      </c>
      <c r="G29" s="876">
        <f>'DataBase (IMO form)'!I23</f>
        <v>34168</v>
      </c>
      <c r="H29" s="644" t="str">
        <f>'DataBase (IMO form)'!K23</f>
        <v>NASIPIT AND</v>
      </c>
      <c r="I29" s="644" t="e">
        <v>#REF!</v>
      </c>
      <c r="J29" s="644" t="str">
        <f>'DataBase (IMO form)'!H23</f>
        <v>M</v>
      </c>
      <c r="K29" s="644" t="s">
        <v>256</v>
      </c>
      <c r="L29" s="877" t="str">
        <f>'DataBase (IMO form)'!W23</f>
        <v>P5223721B</v>
      </c>
      <c r="M29" s="874" t="str">
        <f>'DataBase (IMO form)'!Y23</f>
        <v>DFA NCR WEST</v>
      </c>
      <c r="N29" s="875">
        <f>'DataBase (IMO form)'!X23</f>
        <v>47649</v>
      </c>
    </row>
    <row r="30" spans="1:22" s="497" customFormat="1" ht="39" customHeight="1" thickBot="1">
      <c r="A30" s="1095"/>
      <c r="B30" s="640">
        <f>'DataBase (IMO form)'!B24</f>
        <v>17</v>
      </c>
      <c r="C30" s="641" t="str">
        <f>'DataBase (IMO form)'!D24</f>
        <v xml:space="preserve">PALERACIO </v>
      </c>
      <c r="D30" s="641" t="str">
        <f>'DataBase (IMO form)'!E24</f>
        <v>JOHN CALLED</v>
      </c>
      <c r="E30" s="642" t="str">
        <f>'DataBase (IMO form)'!C24</f>
        <v>AB</v>
      </c>
      <c r="F30" s="642" t="str">
        <f>'DataBase (IMO form)'!L24</f>
        <v>FILIPINO</v>
      </c>
      <c r="G30" s="876">
        <f>'DataBase (IMO form)'!I24</f>
        <v>33759</v>
      </c>
      <c r="H30" s="644" t="str">
        <f>'DataBase (IMO form)'!K24</f>
        <v>SAMPALOC QUEZON</v>
      </c>
      <c r="I30" s="644" t="e">
        <v>#REF!</v>
      </c>
      <c r="J30" s="644" t="str">
        <f>'DataBase (IMO form)'!H24</f>
        <v>M</v>
      </c>
      <c r="K30" s="644" t="s">
        <v>256</v>
      </c>
      <c r="L30" s="877" t="str">
        <f>'DataBase (IMO form)'!W24</f>
        <v>P5914768B</v>
      </c>
      <c r="M30" s="874" t="str">
        <f>'DataBase (IMO form)'!Y24</f>
        <v xml:space="preserve">DFA LUCENA </v>
      </c>
      <c r="N30" s="875">
        <f>'DataBase (IMO form)'!X24</f>
        <v>47825</v>
      </c>
    </row>
    <row r="31" spans="1:22" s="497" customFormat="1" ht="39" customHeight="1" thickBot="1">
      <c r="A31" s="1095"/>
      <c r="B31" s="640">
        <f>'DataBase (IMO form)'!B25</f>
        <v>18</v>
      </c>
      <c r="C31" s="641" t="str">
        <f>'DataBase (IMO form)'!D25</f>
        <v xml:space="preserve">RUFON </v>
      </c>
      <c r="D31" s="641" t="str">
        <f>'DataBase (IMO form)'!E25</f>
        <v>NOEL III</v>
      </c>
      <c r="E31" s="642" t="str">
        <f>'DataBase (IMO form)'!C25</f>
        <v>AB</v>
      </c>
      <c r="F31" s="642" t="str">
        <f>'DataBase (IMO form)'!L25</f>
        <v>FILIPINO</v>
      </c>
      <c r="G31" s="876">
        <f>'DataBase (IMO form)'!I25</f>
        <v>35899</v>
      </c>
      <c r="H31" s="644" t="str">
        <f>'DataBase (IMO form)'!K25</f>
        <v>QUEZON CITY</v>
      </c>
      <c r="I31" s="644" t="e">
        <v>#REF!</v>
      </c>
      <c r="J31" s="644" t="str">
        <f>'DataBase (IMO form)'!H25</f>
        <v>M</v>
      </c>
      <c r="K31" s="644" t="s">
        <v>256</v>
      </c>
      <c r="L31" s="877" t="str">
        <f>'DataBase (IMO form)'!W25</f>
        <v>P3324286B</v>
      </c>
      <c r="M31" s="874" t="str">
        <f>'DataBase (IMO form)'!Y25</f>
        <v>DFA NCR NORTHEAST</v>
      </c>
      <c r="N31" s="875">
        <f>'DataBase (IMO form)'!X25</f>
        <v>47384</v>
      </c>
    </row>
    <row r="32" spans="1:22" s="497" customFormat="1" ht="39" customHeight="1" thickBot="1">
      <c r="A32" s="1095"/>
      <c r="B32" s="640">
        <f>'DataBase (IMO form)'!B26</f>
        <v>19</v>
      </c>
      <c r="C32" s="641" t="str">
        <f>'DataBase (IMO form)'!D26</f>
        <v>CASTILLO</v>
      </c>
      <c r="D32" s="641" t="str">
        <f>'DataBase (IMO form)'!E26</f>
        <v>TIMBERT</v>
      </c>
      <c r="E32" s="642" t="str">
        <f>'DataBase (IMO form)'!C26</f>
        <v>AB</v>
      </c>
      <c r="F32" s="642" t="str">
        <f>'DataBase (IMO form)'!L26</f>
        <v>FILIPINO</v>
      </c>
      <c r="G32" s="876">
        <f>'DataBase (IMO form)'!I26</f>
        <v>34015</v>
      </c>
      <c r="H32" s="644" t="str">
        <f>'DataBase (IMO form)'!K26</f>
        <v>BUENAVISTA MDQ</v>
      </c>
      <c r="I32" s="644" t="e">
        <v>#REF!</v>
      </c>
      <c r="J32" s="644" t="str">
        <f>'DataBase (IMO form)'!H26</f>
        <v>M</v>
      </c>
      <c r="K32" s="644" t="s">
        <v>256</v>
      </c>
      <c r="L32" s="877" t="str">
        <f>'DataBase (IMO form)'!W26</f>
        <v>P4666149B</v>
      </c>
      <c r="M32" s="874" t="str">
        <f>'DataBase (IMO form)'!Y26</f>
        <v>DFA MANILA</v>
      </c>
      <c r="N32" s="875">
        <f>'DataBase (IMO form)'!X26</f>
        <v>47516</v>
      </c>
    </row>
    <row r="33" spans="1:14" s="497" customFormat="1" ht="38.25" customHeight="1" thickBot="1">
      <c r="A33" s="1095"/>
      <c r="B33" s="640">
        <f>'DataBase (IMO form)'!B27</f>
        <v>20</v>
      </c>
      <c r="C33" s="641" t="str">
        <f>'DataBase (IMO form)'!D27</f>
        <v>ACULIT</v>
      </c>
      <c r="D33" s="641" t="str">
        <f>'DataBase (IMO form)'!E27</f>
        <v>MIKE LISLIE</v>
      </c>
      <c r="E33" s="642" t="str">
        <f>'DataBase (IMO form)'!C27</f>
        <v>OS</v>
      </c>
      <c r="F33" s="642" t="str">
        <f>'DataBase (IMO form)'!L27</f>
        <v>FILIPINO</v>
      </c>
      <c r="G33" s="876">
        <f>'DataBase (IMO form)'!I27</f>
        <v>35054</v>
      </c>
      <c r="H33" s="644" t="str">
        <f>'DataBase (IMO form)'!K27</f>
        <v>BAGO CITY</v>
      </c>
      <c r="I33" s="644" t="e">
        <v>#REF!</v>
      </c>
      <c r="J33" s="644" t="str">
        <f>'DataBase (IMO form)'!H27</f>
        <v>M</v>
      </c>
      <c r="K33" s="644" t="s">
        <v>256</v>
      </c>
      <c r="L33" s="877" t="str">
        <f>'DataBase (IMO form)'!W27</f>
        <v>P3505092B</v>
      </c>
      <c r="M33" s="874" t="str">
        <f>'DataBase (IMO form)'!Y27</f>
        <v>DFA BACOLOD</v>
      </c>
      <c r="N33" s="875">
        <f>'DataBase (IMO form)'!X27</f>
        <v>47401</v>
      </c>
    </row>
    <row r="34" spans="1:14" s="497" customFormat="1" ht="38.25" customHeight="1" thickBot="1">
      <c r="A34" s="528"/>
      <c r="B34" s="640">
        <f>'DataBase (IMO form)'!B28</f>
        <v>21</v>
      </c>
      <c r="C34" s="641" t="str">
        <f>'DataBase (IMO form)'!D28</f>
        <v>DOMONDON</v>
      </c>
      <c r="D34" s="641" t="str">
        <f>'DataBase (IMO form)'!E28</f>
        <v>DEXTER</v>
      </c>
      <c r="E34" s="642" t="str">
        <f>'DataBase (IMO form)'!C28</f>
        <v>OS</v>
      </c>
      <c r="F34" s="642" t="str">
        <f>'DataBase (IMO form)'!L28</f>
        <v>FILIPINO</v>
      </c>
      <c r="G34" s="876">
        <f>'DataBase (IMO form)'!I28</f>
        <v>36084</v>
      </c>
      <c r="H34" s="644" t="str">
        <f>'DataBase (IMO form)'!K28</f>
        <v>MARIKINA CITY</v>
      </c>
      <c r="I34" s="644" t="e">
        <v>#REF!</v>
      </c>
      <c r="J34" s="644" t="str">
        <f>'DataBase (IMO form)'!H28</f>
        <v>M</v>
      </c>
      <c r="K34" s="644" t="s">
        <v>256</v>
      </c>
      <c r="L34" s="877" t="str">
        <f>'DataBase (IMO form)'!W28</f>
        <v>P6400609A</v>
      </c>
      <c r="M34" s="874" t="str">
        <f>'DataBase (IMO form)'!Y28</f>
        <v>DFA NCR WEST</v>
      </c>
      <c r="N34" s="875">
        <f>'DataBase (IMO form)'!X28</f>
        <v>46824</v>
      </c>
    </row>
    <row r="35" spans="1:14" s="497" customFormat="1" ht="38.25" customHeight="1" thickBot="1">
      <c r="A35" s="528"/>
      <c r="B35" s="640">
        <f>'DataBase (IMO form)'!B29</f>
        <v>22</v>
      </c>
      <c r="C35" s="641" t="str">
        <f>'DataBase (IMO form)'!D29</f>
        <v>DACANAY</v>
      </c>
      <c r="D35" s="641" t="str">
        <f>'DataBase (IMO form)'!E29</f>
        <v>JAYSON</v>
      </c>
      <c r="E35" s="642" t="str">
        <f>'DataBase (IMO form)'!C29</f>
        <v>FITTER</v>
      </c>
      <c r="F35" s="642" t="str">
        <f>'DataBase (IMO form)'!L29</f>
        <v>FILIPINO</v>
      </c>
      <c r="G35" s="876">
        <f>'DataBase (IMO form)'!I29</f>
        <v>33621</v>
      </c>
      <c r="H35" s="644" t="str">
        <f>'DataBase (IMO form)'!K29</f>
        <v>SISON PANGASINAN</v>
      </c>
      <c r="I35" s="644" t="e">
        <v>#REF!</v>
      </c>
      <c r="J35" s="644" t="str">
        <f>'DataBase (IMO form)'!H29</f>
        <v>M</v>
      </c>
      <c r="K35" s="644" t="s">
        <v>256</v>
      </c>
      <c r="L35" s="877" t="str">
        <f>'DataBase (IMO form)'!W29</f>
        <v>P6556840B</v>
      </c>
      <c r="M35" s="874" t="str">
        <f>'DataBase (IMO form)'!Y29</f>
        <v>DFA LA UNION</v>
      </c>
      <c r="N35" s="875">
        <f>'DataBase (IMO form)'!X29</f>
        <v>47931</v>
      </c>
    </row>
    <row r="36" spans="1:14" s="497" customFormat="1" ht="38.25" customHeight="1" thickBot="1">
      <c r="A36" s="528"/>
      <c r="B36" s="640">
        <f>'DataBase (IMO form)'!B30</f>
        <v>23</v>
      </c>
      <c r="C36" s="641" t="str">
        <f>'DataBase (IMO form)'!D30</f>
        <v>APID</v>
      </c>
      <c r="D36" s="641" t="str">
        <f>'DataBase (IMO form)'!E30</f>
        <v>LORD BYRON</v>
      </c>
      <c r="E36" s="642" t="str">
        <f>'DataBase (IMO form)'!C30</f>
        <v>MTM</v>
      </c>
      <c r="F36" s="642" t="str">
        <f>'DataBase (IMO form)'!L30</f>
        <v>FILIPINO</v>
      </c>
      <c r="G36" s="876">
        <f>'DataBase (IMO form)'!I30</f>
        <v>32630</v>
      </c>
      <c r="H36" s="644" t="str">
        <f>'DataBase (IMO form)'!K30</f>
        <v>DIONISIO ILOILO</v>
      </c>
      <c r="I36" s="644" t="e">
        <v>#REF!</v>
      </c>
      <c r="J36" s="644" t="str">
        <f>'DataBase (IMO form)'!H30</f>
        <v>M</v>
      </c>
      <c r="K36" s="644" t="s">
        <v>256</v>
      </c>
      <c r="L36" s="877" t="str">
        <f>'DataBase (IMO form)'!W30</f>
        <v>P6351015A</v>
      </c>
      <c r="M36" s="874" t="str">
        <f>'DataBase (IMO form)'!Y30</f>
        <v>DFA MANILA</v>
      </c>
      <c r="N36" s="875">
        <f>'DataBase (IMO form)'!X30</f>
        <v>46820</v>
      </c>
    </row>
    <row r="37" spans="1:14" s="497" customFormat="1" ht="38.25" customHeight="1" thickBot="1">
      <c r="A37" s="528"/>
      <c r="B37" s="640">
        <f>'DataBase (IMO form)'!B31</f>
        <v>24</v>
      </c>
      <c r="C37" s="641" t="str">
        <f>'DataBase (IMO form)'!D31</f>
        <v>BRILLANTES</v>
      </c>
      <c r="D37" s="641" t="str">
        <f>'DataBase (IMO form)'!E31</f>
        <v>FER ANN</v>
      </c>
      <c r="E37" s="642" t="str">
        <f>'DataBase (IMO form)'!C31</f>
        <v>MTM</v>
      </c>
      <c r="F37" s="642" t="str">
        <f>'DataBase (IMO form)'!L31</f>
        <v>FILIPINO</v>
      </c>
      <c r="G37" s="876">
        <f>'DataBase (IMO form)'!I31</f>
        <v>33831</v>
      </c>
      <c r="H37" s="644" t="str">
        <f>'DataBase (IMO form)'!K31</f>
        <v>ILOILO CITY</v>
      </c>
      <c r="I37" s="644" t="e">
        <v>#REF!</v>
      </c>
      <c r="J37" s="644" t="str">
        <f>'DataBase (IMO form)'!H31</f>
        <v>M</v>
      </c>
      <c r="K37" s="644" t="s">
        <v>256</v>
      </c>
      <c r="L37" s="877" t="str">
        <f>'DataBase (IMO form)'!W31</f>
        <v>P7519115A</v>
      </c>
      <c r="M37" s="874" t="str">
        <f>'DataBase (IMO form)'!Y31</f>
        <v>DFA ILOILO</v>
      </c>
      <c r="N37" s="875">
        <f>'DataBase (IMO form)'!X31</f>
        <v>46914</v>
      </c>
    </row>
    <row r="38" spans="1:14" s="497" customFormat="1" ht="38.25" customHeight="1" thickBot="1">
      <c r="A38" s="528"/>
      <c r="B38" s="640">
        <f>'DataBase (IMO form)'!B32</f>
        <v>25</v>
      </c>
      <c r="C38" s="641" t="str">
        <f>'DataBase (IMO form)'!D32</f>
        <v>FLORES</v>
      </c>
      <c r="D38" s="641" t="str">
        <f>'DataBase (IMO form)'!E32</f>
        <v>NORIEL</v>
      </c>
      <c r="E38" s="642" t="str">
        <f>'DataBase (IMO form)'!C32</f>
        <v>WIPER</v>
      </c>
      <c r="F38" s="642" t="str">
        <f>'DataBase (IMO form)'!L32</f>
        <v>FILIPINO</v>
      </c>
      <c r="G38" s="876">
        <f>'DataBase (IMO form)'!I32</f>
        <v>36550</v>
      </c>
      <c r="H38" s="644" t="str">
        <f>'DataBase (IMO form)'!K32</f>
        <v>P GALERA OR MDO</v>
      </c>
      <c r="I38" s="644" t="e">
        <v>#REF!</v>
      </c>
      <c r="J38" s="644" t="str">
        <f>'DataBase (IMO form)'!H32</f>
        <v>M</v>
      </c>
      <c r="K38" s="644" t="s">
        <v>256</v>
      </c>
      <c r="L38" s="877" t="str">
        <f>'DataBase (IMO form)'!W32</f>
        <v>P1950890C</v>
      </c>
      <c r="M38" s="874" t="str">
        <f>'DataBase (IMO form)'!Y32</f>
        <v>DFA NCR SOUTH</v>
      </c>
      <c r="N38" s="875">
        <f>'DataBase (IMO form)'!X32</f>
        <v>48494</v>
      </c>
    </row>
    <row r="39" spans="1:14" s="497" customFormat="1" ht="38.25" customHeight="1" thickBot="1">
      <c r="A39" s="528"/>
      <c r="B39" s="640">
        <f>'DataBase (IMO form)'!B33</f>
        <v>26</v>
      </c>
      <c r="C39" s="641" t="str">
        <f>'DataBase (IMO form)'!D33</f>
        <v>ESTRABELA</v>
      </c>
      <c r="D39" s="641" t="str">
        <f>'DataBase (IMO form)'!E33</f>
        <v>ARIES</v>
      </c>
      <c r="E39" s="642" t="str">
        <f>'DataBase (IMO form)'!C33</f>
        <v>CHIEF COOK</v>
      </c>
      <c r="F39" s="642" t="str">
        <f>'DataBase (IMO form)'!L33</f>
        <v>FILIPINO</v>
      </c>
      <c r="G39" s="876">
        <f>'DataBase (IMO form)'!I33</f>
        <v>34876</v>
      </c>
      <c r="H39" s="644" t="str">
        <f>'DataBase (IMO form)'!K33</f>
        <v>BARCELONA SSG</v>
      </c>
      <c r="I39" s="644" t="e">
        <v>#REF!</v>
      </c>
      <c r="J39" s="644" t="str">
        <f>'DataBase (IMO form)'!H33</f>
        <v>M</v>
      </c>
      <c r="K39" s="644" t="s">
        <v>256</v>
      </c>
      <c r="L39" s="877" t="str">
        <f>'DataBase (IMO form)'!W33</f>
        <v>P6676452B</v>
      </c>
      <c r="M39" s="874" t="str">
        <f>'DataBase (IMO form)'!Y33</f>
        <v>DFA NCR EAST</v>
      </c>
      <c r="N39" s="875">
        <f>'DataBase (IMO form)'!X33</f>
        <v>47957</v>
      </c>
    </row>
    <row r="40" spans="1:14" s="497" customFormat="1" ht="38.25" customHeight="1" thickBot="1">
      <c r="A40" s="1017"/>
      <c r="B40" s="640">
        <f>'DataBase (IMO form)'!B34</f>
        <v>27</v>
      </c>
      <c r="C40" s="641" t="str">
        <f>'DataBase (IMO form)'!D34</f>
        <v>ALLADO</v>
      </c>
      <c r="D40" s="641" t="str">
        <f>'DataBase (IMO form)'!E34</f>
        <v>KEITH VINCENT</v>
      </c>
      <c r="E40" s="642" t="str">
        <f>'DataBase (IMO form)'!C34</f>
        <v>ASS COOK</v>
      </c>
      <c r="F40" s="642" t="str">
        <f>'DataBase (IMO form)'!L34</f>
        <v>FILIPINO</v>
      </c>
      <c r="G40" s="876">
        <f>'DataBase (IMO form)'!I34</f>
        <v>34074</v>
      </c>
      <c r="H40" s="644" t="str">
        <f>'DataBase (IMO form)'!K34</f>
        <v>SAMPALOC QUEZON</v>
      </c>
      <c r="I40" s="644" t="e">
        <v>#REF!</v>
      </c>
      <c r="J40" s="644" t="str">
        <f>'DataBase (IMO form)'!H34</f>
        <v>M</v>
      </c>
      <c r="K40" s="644" t="s">
        <v>256</v>
      </c>
      <c r="L40" s="877" t="str">
        <f>'DataBase (IMO form)'!W34</f>
        <v>P6096925B</v>
      </c>
      <c r="M40" s="874" t="str">
        <f>'DataBase (IMO form)'!Y34</f>
        <v xml:space="preserve">DFA LUCENA </v>
      </c>
      <c r="N40" s="875">
        <f>'DataBase (IMO form)'!X34</f>
        <v>47862</v>
      </c>
    </row>
    <row r="41" spans="1:14" s="497" customFormat="1" ht="38.25" customHeight="1" thickBot="1">
      <c r="A41" s="1017"/>
      <c r="B41" s="640">
        <f>'DataBase (IMO form)'!B35</f>
        <v>28</v>
      </c>
      <c r="C41" s="641" t="str">
        <f>'DataBase (IMO form)'!D35</f>
        <v>ABES</v>
      </c>
      <c r="D41" s="641" t="str">
        <f>'DataBase (IMO form)'!E35</f>
        <v>JAMES DARWIN</v>
      </c>
      <c r="E41" s="642" t="str">
        <f>'DataBase (IMO form)'!C35</f>
        <v>MSM</v>
      </c>
      <c r="F41" s="642" t="str">
        <f>'DataBase (IMO form)'!L35</f>
        <v>FILIPINO</v>
      </c>
      <c r="G41" s="876">
        <f>'DataBase (IMO form)'!I35</f>
        <v>36409</v>
      </c>
      <c r="H41" s="644" t="str">
        <f>'DataBase (IMO form)'!K35</f>
        <v>GITAGUM MIS OR</v>
      </c>
      <c r="I41" s="644" t="e">
        <v>#REF!</v>
      </c>
      <c r="J41" s="644" t="str">
        <f>'DataBase (IMO form)'!H35</f>
        <v>M</v>
      </c>
      <c r="K41" s="644" t="s">
        <v>256</v>
      </c>
      <c r="L41" s="877" t="str">
        <f>'DataBase (IMO form)'!W35</f>
        <v>P3071209C</v>
      </c>
      <c r="M41" s="874" t="str">
        <f>'DataBase (IMO form)'!Y35</f>
        <v>DFA BUTUAN</v>
      </c>
      <c r="N41" s="875">
        <f>'DataBase (IMO form)'!X35</f>
        <v>48604</v>
      </c>
    </row>
    <row r="42" spans="1:14" s="497" customFormat="1" ht="38.25" hidden="1" customHeight="1" thickBot="1">
      <c r="A42" s="1017"/>
      <c r="B42" s="640">
        <f>'DataBase (IMO form)'!B36</f>
        <v>0</v>
      </c>
      <c r="C42" s="641">
        <f>'DataBase (IMO form)'!D36</f>
        <v>0</v>
      </c>
      <c r="D42" s="641">
        <f>'DataBase (IMO form)'!E36</f>
        <v>0</v>
      </c>
      <c r="E42" s="642">
        <f>'DataBase (IMO form)'!C36</f>
        <v>0</v>
      </c>
      <c r="F42" s="642">
        <f>'DataBase (IMO form)'!L36</f>
        <v>0</v>
      </c>
      <c r="G42" s="876">
        <f>'DataBase (IMO form)'!I36</f>
        <v>0</v>
      </c>
      <c r="H42" s="644">
        <f>'DataBase (IMO form)'!K36</f>
        <v>0</v>
      </c>
      <c r="I42" s="644" t="e">
        <v>#REF!</v>
      </c>
      <c r="J42" s="644">
        <f>'DataBase (IMO form)'!H36</f>
        <v>0</v>
      </c>
      <c r="K42" s="644" t="s">
        <v>256</v>
      </c>
      <c r="L42" s="877">
        <f>'DataBase (IMO form)'!W36</f>
        <v>0</v>
      </c>
      <c r="M42" s="874">
        <f>'DataBase (IMO form)'!Y36</f>
        <v>0</v>
      </c>
      <c r="N42" s="875">
        <f>'DataBase (IMO form)'!X36</f>
        <v>0</v>
      </c>
    </row>
    <row r="43" spans="1:14" s="497" customFormat="1" ht="34.5" hidden="1" customHeight="1" thickBot="1">
      <c r="A43" s="1013"/>
      <c r="B43" s="640">
        <f>'DataBase (IMO form)'!B36</f>
        <v>0</v>
      </c>
      <c r="C43" s="641">
        <f>'DataBase (IMO form)'!D36</f>
        <v>0</v>
      </c>
      <c r="D43" s="641">
        <f>'DataBase (IMO form)'!E36</f>
        <v>0</v>
      </c>
      <c r="E43" s="642">
        <f>'DataBase (IMO form)'!C36</f>
        <v>0</v>
      </c>
      <c r="F43" s="642">
        <f>'DataBase (IMO form)'!L36</f>
        <v>0</v>
      </c>
      <c r="G43" s="876">
        <f>'DataBase (IMO form)'!I36</f>
        <v>0</v>
      </c>
      <c r="H43" s="644">
        <f>'DataBase (IMO form)'!K36</f>
        <v>0</v>
      </c>
      <c r="I43" s="644" t="e">
        <v>#REF!</v>
      </c>
      <c r="J43" s="644">
        <f>'DataBase (IMO form)'!H36</f>
        <v>0</v>
      </c>
      <c r="K43" s="644" t="s">
        <v>256</v>
      </c>
      <c r="L43" s="877">
        <f>'DataBase (IMO form)'!W36</f>
        <v>0</v>
      </c>
      <c r="M43" s="874">
        <f>'DataBase (IMO form)'!Y36</f>
        <v>0</v>
      </c>
      <c r="N43" s="875">
        <f>'DataBase (IMO form)'!X36</f>
        <v>0</v>
      </c>
    </row>
    <row r="44" spans="1:14" s="497" customFormat="1">
      <c r="A44" s="498"/>
      <c r="B44" s="1133" t="s">
        <v>251</v>
      </c>
      <c r="C44" s="1133"/>
      <c r="D44" s="1133"/>
      <c r="E44" s="1133"/>
      <c r="F44" s="1133"/>
      <c r="G44" s="1133"/>
      <c r="H44" s="1133"/>
      <c r="I44" s="1133"/>
      <c r="J44" s="1133"/>
      <c r="K44" s="1133"/>
      <c r="L44" s="1133"/>
      <c r="M44" s="1133"/>
      <c r="N44" s="1133"/>
    </row>
    <row r="45" spans="1:14" s="500" customFormat="1" ht="16.5" customHeight="1">
      <c r="A45" s="499"/>
      <c r="B45" s="1132" t="s">
        <v>143</v>
      </c>
      <c r="C45" s="1132"/>
      <c r="D45" s="1132"/>
      <c r="E45" s="1132"/>
      <c r="F45" s="1132"/>
      <c r="G45" s="1132"/>
      <c r="H45" s="1132"/>
      <c r="I45" s="1132"/>
      <c r="J45" s="1132"/>
      <c r="K45" s="1132"/>
      <c r="L45" s="1132"/>
      <c r="M45" s="1132"/>
      <c r="N45" s="1132"/>
    </row>
    <row r="46" spans="1:14" ht="15" customHeight="1">
      <c r="C46" s="503">
        <f>I7</f>
        <v>46106</v>
      </c>
      <c r="E46" s="504"/>
    </row>
    <row r="47" spans="1:14" ht="15">
      <c r="E47" s="504"/>
      <c r="G47" s="1129" t="str">
        <f>M.Menu!S16</f>
        <v>CAPT. WENDT ROBERT</v>
      </c>
      <c r="H47" s="1130"/>
      <c r="I47" s="1130"/>
      <c r="J47" s="1130"/>
      <c r="K47" s="1130"/>
      <c r="L47" s="1130"/>
      <c r="M47" s="526"/>
      <c r="N47" s="526"/>
    </row>
    <row r="48" spans="1:14">
      <c r="A48" s="506"/>
      <c r="B48" s="507"/>
      <c r="C48" s="507"/>
      <c r="D48" s="507"/>
      <c r="E48" s="508"/>
      <c r="G48" s="1131" t="s">
        <v>39</v>
      </c>
      <c r="H48" s="1131"/>
      <c r="I48" s="1131"/>
      <c r="J48" s="1131"/>
      <c r="K48" s="1131"/>
      <c r="L48" s="1131"/>
      <c r="M48" s="527"/>
      <c r="N48" s="527"/>
    </row>
    <row r="49" spans="1:11">
      <c r="E49" s="504"/>
    </row>
    <row r="50" spans="1:11">
      <c r="E50" s="504"/>
    </row>
    <row r="51" spans="1:11">
      <c r="E51" s="504"/>
    </row>
    <row r="52" spans="1:11">
      <c r="E52" s="504"/>
    </row>
    <row r="53" spans="1:11" s="502" customFormat="1">
      <c r="A53" s="501"/>
      <c r="E53" s="504"/>
      <c r="G53" s="505"/>
      <c r="H53" s="504"/>
      <c r="I53" s="504"/>
      <c r="J53" s="504"/>
      <c r="K53" s="504"/>
    </row>
    <row r="54" spans="1:11" s="502" customFormat="1">
      <c r="A54" s="501"/>
      <c r="E54" s="504"/>
      <c r="G54" s="505"/>
      <c r="H54" s="504"/>
      <c r="I54" s="504"/>
      <c r="J54" s="504"/>
      <c r="K54" s="504"/>
    </row>
    <row r="55" spans="1:11" s="502" customFormat="1">
      <c r="A55" s="501"/>
      <c r="E55" s="504"/>
      <c r="G55" s="505"/>
      <c r="H55" s="504"/>
      <c r="I55" s="504"/>
      <c r="J55" s="504"/>
      <c r="K55" s="504"/>
    </row>
    <row r="56" spans="1:11" s="502" customFormat="1">
      <c r="A56" s="501"/>
      <c r="E56" s="504"/>
      <c r="G56" s="505"/>
      <c r="H56" s="504"/>
      <c r="I56" s="504"/>
      <c r="J56" s="504"/>
      <c r="K56" s="504"/>
    </row>
    <row r="57" spans="1:11" s="502" customFormat="1">
      <c r="A57" s="501"/>
      <c r="E57" s="504"/>
      <c r="G57" s="505"/>
      <c r="H57" s="504"/>
      <c r="I57" s="504"/>
      <c r="J57" s="504"/>
      <c r="K57" s="504"/>
    </row>
    <row r="58" spans="1:11" s="502" customFormat="1">
      <c r="A58" s="501"/>
      <c r="E58" s="504"/>
      <c r="G58" s="505"/>
      <c r="H58" s="504"/>
      <c r="I58" s="504"/>
      <c r="J58" s="504"/>
      <c r="K58" s="504"/>
    </row>
    <row r="59" spans="1:11" s="502" customFormat="1">
      <c r="A59" s="501"/>
      <c r="E59" s="504"/>
      <c r="G59" s="505"/>
      <c r="H59" s="504"/>
      <c r="I59" s="504"/>
      <c r="J59" s="504"/>
      <c r="K59" s="504"/>
    </row>
    <row r="60" spans="1:11" s="502" customFormat="1">
      <c r="A60" s="501"/>
      <c r="E60" s="504"/>
      <c r="G60" s="505"/>
      <c r="H60" s="504"/>
      <c r="I60" s="504"/>
      <c r="J60" s="504"/>
      <c r="K60" s="504"/>
    </row>
    <row r="61" spans="1:11" s="502" customFormat="1">
      <c r="A61" s="501"/>
      <c r="E61" s="504"/>
      <c r="G61" s="505"/>
      <c r="H61" s="504"/>
      <c r="I61" s="504"/>
      <c r="J61" s="504"/>
      <c r="K61" s="504"/>
    </row>
    <row r="62" spans="1:11" s="502" customFormat="1">
      <c r="A62" s="501"/>
      <c r="E62" s="504"/>
      <c r="G62" s="505"/>
      <c r="H62" s="504"/>
      <c r="I62" s="504"/>
      <c r="J62" s="504"/>
      <c r="K62" s="504"/>
    </row>
    <row r="63" spans="1:11" s="502" customFormat="1">
      <c r="A63" s="501"/>
      <c r="E63" s="504"/>
      <c r="G63" s="505"/>
      <c r="H63" s="504"/>
      <c r="I63" s="504"/>
      <c r="J63" s="504"/>
      <c r="K63" s="504"/>
    </row>
    <row r="64" spans="1:11" s="502" customFormat="1">
      <c r="A64" s="501"/>
      <c r="E64" s="504"/>
      <c r="G64" s="505"/>
      <c r="H64" s="504"/>
      <c r="I64" s="504"/>
      <c r="J64" s="504"/>
      <c r="K64" s="504"/>
    </row>
    <row r="65" spans="1:11" s="502" customFormat="1">
      <c r="A65" s="501"/>
      <c r="E65" s="504"/>
      <c r="G65" s="505"/>
      <c r="H65" s="504"/>
      <c r="I65" s="504"/>
      <c r="J65" s="504"/>
      <c r="K65" s="504"/>
    </row>
  </sheetData>
  <sheetProtection formatRows="0"/>
  <mergeCells count="29">
    <mergeCell ref="B11:E11"/>
    <mergeCell ref="F11:H11"/>
    <mergeCell ref="J12:J13"/>
    <mergeCell ref="K12:K13"/>
    <mergeCell ref="L12:L13"/>
    <mergeCell ref="F12:F13"/>
    <mergeCell ref="E12:E13"/>
    <mergeCell ref="M12:M13"/>
    <mergeCell ref="N12:N13"/>
    <mergeCell ref="G47:L47"/>
    <mergeCell ref="G48:L48"/>
    <mergeCell ref="B45:N45"/>
    <mergeCell ref="B44:N44"/>
    <mergeCell ref="B2:N2"/>
    <mergeCell ref="B3:N3"/>
    <mergeCell ref="A27:A33"/>
    <mergeCell ref="I7:N11"/>
    <mergeCell ref="B5:D5"/>
    <mergeCell ref="D6:E6"/>
    <mergeCell ref="F7:H8"/>
    <mergeCell ref="A6:A26"/>
    <mergeCell ref="L4:N4"/>
    <mergeCell ref="L5:N5"/>
    <mergeCell ref="I6:N6"/>
    <mergeCell ref="G12:G13"/>
    <mergeCell ref="H12:H13"/>
    <mergeCell ref="C12:C13"/>
    <mergeCell ref="D12:D13"/>
    <mergeCell ref="B12:B13"/>
  </mergeCells>
  <conditionalFormatting sqref="B14:N43">
    <cfRule type="cellIs" dxfId="164" priority="26" stopIfTrue="1" operator="lessThanOrEqual">
      <formula>$T$7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9" scale="5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8000"/>
    <pageSetUpPr fitToPage="1"/>
  </sheetPr>
  <dimension ref="A1:V65"/>
  <sheetViews>
    <sheetView showGridLines="0" showZeros="0" view="pageBreakPreview" topLeftCell="A25" zoomScale="85" zoomScaleNormal="70" zoomScaleSheetLayoutView="85" workbookViewId="0">
      <selection activeCell="R37" sqref="R37"/>
    </sheetView>
  </sheetViews>
  <sheetFormatPr defaultColWidth="9.140625" defaultRowHeight="12.75"/>
  <cols>
    <col min="1" max="1" width="1.5703125" style="501" customWidth="1"/>
    <col min="2" max="2" width="6" style="502" customWidth="1"/>
    <col min="3" max="3" width="29.140625" style="502" customWidth="1"/>
    <col min="4" max="4" width="31.5703125" style="502" customWidth="1"/>
    <col min="5" max="5" width="10" style="502" customWidth="1"/>
    <col min="6" max="6" width="18.140625" style="502" customWidth="1"/>
    <col min="7" max="7" width="13.28515625" style="505" bestFit="1" customWidth="1"/>
    <col min="8" max="8" width="16.28515625" style="504" customWidth="1"/>
    <col min="9" max="9" width="4.7109375" style="504" hidden="1" customWidth="1"/>
    <col min="10" max="10" width="8.85546875" style="504" customWidth="1"/>
    <col min="11" max="11" width="12.7109375" style="504" customWidth="1"/>
    <col min="12" max="12" width="14.5703125" style="502" customWidth="1"/>
    <col min="13" max="13" width="15.7109375" style="502" customWidth="1"/>
    <col min="14" max="14" width="14.5703125" style="502" customWidth="1"/>
    <col min="15" max="16384" width="9.140625" style="501"/>
  </cols>
  <sheetData>
    <row r="1" spans="1:14" s="460" customFormat="1" ht="27" customHeight="1">
      <c r="A1" s="460" t="s">
        <v>143</v>
      </c>
      <c r="B1" s="461"/>
      <c r="C1" s="461"/>
      <c r="D1" s="461"/>
      <c r="E1" s="461"/>
      <c r="F1" s="461"/>
      <c r="G1" s="462"/>
      <c r="H1" s="463"/>
      <c r="I1" s="463"/>
      <c r="J1" s="463"/>
      <c r="K1" s="463"/>
      <c r="L1" s="461"/>
      <c r="M1" s="461"/>
      <c r="N1" s="461"/>
    </row>
    <row r="2" spans="1:14" s="460" customFormat="1" ht="30" customHeight="1">
      <c r="A2" s="1147" t="s">
        <v>88</v>
      </c>
      <c r="B2" s="1147"/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1147"/>
    </row>
    <row r="3" spans="1:14" s="460" customFormat="1" ht="14.25" customHeight="1" thickBot="1">
      <c r="A3" s="1148" t="s">
        <v>257</v>
      </c>
      <c r="B3" s="1148"/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8"/>
    </row>
    <row r="4" spans="1:14" s="468" customFormat="1" ht="13.5" customHeight="1">
      <c r="B4" s="509"/>
      <c r="C4" s="509"/>
      <c r="D4" s="509"/>
      <c r="E4" s="509"/>
      <c r="F4" s="509"/>
      <c r="G4" s="510"/>
      <c r="H4" s="511"/>
      <c r="I4" s="467"/>
      <c r="J4" s="467"/>
      <c r="K4" s="467"/>
      <c r="L4" s="1149" t="s">
        <v>181</v>
      </c>
      <c r="M4" s="1150"/>
      <c r="N4" s="1151"/>
    </row>
    <row r="5" spans="1:14" s="468" customFormat="1" ht="18.75" customHeight="1" thickBot="1">
      <c r="B5" s="1152"/>
      <c r="C5" s="1152"/>
      <c r="D5" s="1152"/>
      <c r="E5" s="512"/>
      <c r="F5" s="513" t="s">
        <v>87</v>
      </c>
      <c r="G5" s="514"/>
      <c r="H5" s="513"/>
      <c r="I5" s="465"/>
      <c r="J5" s="465"/>
      <c r="K5" s="465"/>
      <c r="L5" s="1153" t="s">
        <v>73</v>
      </c>
      <c r="M5" s="1154"/>
      <c r="N5" s="1155"/>
    </row>
    <row r="6" spans="1:14" s="473" customFormat="1" ht="18.95" customHeight="1" thickBot="1">
      <c r="A6" s="1159"/>
      <c r="B6" s="469" t="s">
        <v>238</v>
      </c>
      <c r="C6" s="470"/>
      <c r="D6" s="1107" t="str">
        <f>M.Menu!E3</f>
        <v>Energy Endurance</v>
      </c>
      <c r="E6" s="1107"/>
      <c r="F6" s="469" t="s">
        <v>82</v>
      </c>
      <c r="G6" s="471"/>
      <c r="H6" s="472"/>
      <c r="I6" s="1118" t="s">
        <v>210</v>
      </c>
      <c r="J6" s="1119"/>
      <c r="K6" s="1119"/>
      <c r="L6" s="1119"/>
      <c r="M6" s="1119"/>
      <c r="N6" s="1120"/>
    </row>
    <row r="7" spans="1:14" s="473" customFormat="1" ht="18.95" customHeight="1">
      <c r="A7" s="1159"/>
      <c r="B7" s="474" t="s">
        <v>250</v>
      </c>
      <c r="C7" s="475"/>
      <c r="D7" s="476" t="s">
        <v>231</v>
      </c>
      <c r="E7" s="477"/>
      <c r="F7" s="1108" t="str">
        <f>M.Menu!L11&amp;", "&amp;M.Menu!L12</f>
        <v>Sabine Pass, U.S.A.</v>
      </c>
      <c r="G7" s="1109"/>
      <c r="H7" s="1110"/>
      <c r="I7" s="1096">
        <f>M.Menu!L13</f>
        <v>46106</v>
      </c>
      <c r="J7" s="1097"/>
      <c r="K7" s="1097"/>
      <c r="L7" s="1097"/>
      <c r="M7" s="1097"/>
      <c r="N7" s="1098"/>
    </row>
    <row r="8" spans="1:14" s="473" customFormat="1" ht="18.95" customHeight="1">
      <c r="A8" s="1159"/>
      <c r="B8" s="474" t="s">
        <v>81</v>
      </c>
      <c r="C8" s="475"/>
      <c r="D8" s="478" t="str">
        <f>M.Menu!E4</f>
        <v>V7A7282</v>
      </c>
      <c r="E8" s="477"/>
      <c r="F8" s="1108" t="str">
        <f>M.Menu!E8&amp;", "&amp;M.Menu!E9</f>
        <v xml:space="preserve">NFE Transport Partners LLC, </v>
      </c>
      <c r="G8" s="1109"/>
      <c r="H8" s="1110"/>
      <c r="I8" s="1099"/>
      <c r="J8" s="1100"/>
      <c r="K8" s="1100"/>
      <c r="L8" s="1100"/>
      <c r="M8" s="1100"/>
      <c r="N8" s="1101"/>
    </row>
    <row r="9" spans="1:14" s="473" customFormat="1" ht="18.95" customHeight="1" thickBot="1">
      <c r="A9" s="1159"/>
      <c r="B9" s="479" t="s">
        <v>285</v>
      </c>
      <c r="C9" s="517"/>
      <c r="D9" s="518" t="str">
        <f>M.Menu!S13</f>
        <v>VOY16</v>
      </c>
      <c r="E9" s="542"/>
      <c r="F9" s="483"/>
      <c r="G9" s="520"/>
      <c r="H9" s="521"/>
      <c r="I9" s="1099"/>
      <c r="J9" s="1100"/>
      <c r="K9" s="1100"/>
      <c r="L9" s="1100"/>
      <c r="M9" s="1100"/>
      <c r="N9" s="1101"/>
    </row>
    <row r="10" spans="1:14" s="468" customFormat="1" ht="24" customHeight="1">
      <c r="A10" s="1159"/>
      <c r="B10" s="486" t="s">
        <v>84</v>
      </c>
      <c r="C10" s="487"/>
      <c r="D10" s="488"/>
      <c r="E10" s="489"/>
      <c r="F10" s="486" t="s">
        <v>85</v>
      </c>
      <c r="G10" s="490"/>
      <c r="H10" s="537"/>
      <c r="I10" s="1099"/>
      <c r="J10" s="1100"/>
      <c r="K10" s="1100"/>
      <c r="L10" s="1100"/>
      <c r="M10" s="1100"/>
      <c r="N10" s="1101"/>
    </row>
    <row r="11" spans="1:14" s="491" customFormat="1" ht="24" customHeight="1" thickBot="1">
      <c r="A11" s="1159"/>
      <c r="B11" s="1134" t="str">
        <f>M.Menu!L8</f>
        <v>Marshall Islands</v>
      </c>
      <c r="C11" s="1157"/>
      <c r="D11" s="1157"/>
      <c r="E11" s="1157"/>
      <c r="F11" s="1136" t="str">
        <f>M.Menu!E11&amp;", "&amp;M.Menu!E12</f>
        <v>BARCARENA, BRAZIL</v>
      </c>
      <c r="G11" s="1137"/>
      <c r="H11" s="1138"/>
      <c r="I11" s="1102"/>
      <c r="J11" s="1145"/>
      <c r="K11" s="1145"/>
      <c r="L11" s="1145"/>
      <c r="M11" s="1145"/>
      <c r="N11" s="1146"/>
    </row>
    <row r="12" spans="1:14" s="544" customFormat="1" ht="16.899999999999999" customHeight="1">
      <c r="A12" s="1159"/>
      <c r="B12" s="1123" t="s">
        <v>241</v>
      </c>
      <c r="C12" s="1123" t="s">
        <v>242</v>
      </c>
      <c r="D12" s="1123" t="s">
        <v>243</v>
      </c>
      <c r="E12" s="1143" t="s">
        <v>361</v>
      </c>
      <c r="F12" s="1141" t="s">
        <v>86</v>
      </c>
      <c r="G12" s="1139" t="s">
        <v>411</v>
      </c>
      <c r="H12" s="1143" t="s">
        <v>412</v>
      </c>
      <c r="I12" s="543"/>
      <c r="J12" s="1139" t="s">
        <v>244</v>
      </c>
      <c r="K12" s="1126" t="s">
        <v>252</v>
      </c>
      <c r="L12" s="1126" t="s">
        <v>253</v>
      </c>
      <c r="M12" s="1126" t="s">
        <v>254</v>
      </c>
      <c r="N12" s="1126" t="s">
        <v>255</v>
      </c>
    </row>
    <row r="13" spans="1:14" s="544" customFormat="1" ht="17.100000000000001" customHeight="1" thickBot="1">
      <c r="A13" s="1159"/>
      <c r="B13" s="1125"/>
      <c r="C13" s="1124"/>
      <c r="D13" s="1124"/>
      <c r="E13" s="1144"/>
      <c r="F13" s="1158"/>
      <c r="G13" s="1140"/>
      <c r="H13" s="1144"/>
      <c r="I13" s="545"/>
      <c r="J13" s="1140"/>
      <c r="K13" s="1128"/>
      <c r="L13" s="1128"/>
      <c r="M13" s="1128"/>
      <c r="N13" s="1128"/>
    </row>
    <row r="14" spans="1:14" s="495" customFormat="1" ht="39" customHeight="1" thickBot="1">
      <c r="A14" s="1159"/>
      <c r="B14" s="648">
        <f>'DataBase (IMO form)'!B8</f>
        <v>1</v>
      </c>
      <c r="C14" s="649" t="str">
        <f>'DataBase (IMO form)'!D8</f>
        <v xml:space="preserve">WENDT </v>
      </c>
      <c r="D14" s="649" t="str">
        <f>'DataBase (IMO form)'!E8</f>
        <v>ROBERT KRZYSZTOF</v>
      </c>
      <c r="E14" s="650" t="str">
        <f>'DataBase (IMO form)'!C8</f>
        <v>MASTER</v>
      </c>
      <c r="F14" s="651" t="str">
        <f>'DataBase (IMO form)'!L8</f>
        <v>POLISH</v>
      </c>
      <c r="G14" s="652">
        <f>'DataBase (IMO form)'!T8</f>
        <v>46002</v>
      </c>
      <c r="H14" s="653" t="str">
        <f>'DataBase (IMO form)'!U8</f>
        <v>DAMIETTA,EGYPT</v>
      </c>
      <c r="I14" s="654" t="e">
        <v>#REF!</v>
      </c>
      <c r="J14" s="655" t="str">
        <f>'DataBase (IMO form)'!H8</f>
        <v>M</v>
      </c>
      <c r="K14" s="655" t="s">
        <v>256</v>
      </c>
      <c r="L14" s="656" t="str">
        <f>'DataBase (IMO form)'!W8</f>
        <v>EK 0855330</v>
      </c>
      <c r="M14" s="657" t="str">
        <f>'DataBase (IMO form)'!Y8</f>
        <v>WOJEWODA, POMORSKI</v>
      </c>
      <c r="N14" s="658">
        <f>'DataBase (IMO form)'!X8</f>
        <v>46330</v>
      </c>
    </row>
    <row r="15" spans="1:14" s="495" customFormat="1" ht="39" customHeight="1" thickBot="1">
      <c r="A15" s="1159"/>
      <c r="B15" s="648">
        <f>'DataBase (IMO form)'!B9</f>
        <v>2</v>
      </c>
      <c r="C15" s="649" t="str">
        <f>'DataBase (IMO form)'!D9</f>
        <v>THANASIS</v>
      </c>
      <c r="D15" s="649" t="str">
        <f>'DataBase (IMO form)'!E9</f>
        <v>EVANGELOS</v>
      </c>
      <c r="E15" s="650" t="str">
        <f>'DataBase (IMO form)'!C9</f>
        <v>CHIEF OFF</v>
      </c>
      <c r="F15" s="651" t="str">
        <f>'DataBase (IMO form)'!L9</f>
        <v>HELLENIC</v>
      </c>
      <c r="G15" s="652">
        <f>'DataBase (IMO form)'!T9</f>
        <v>46081</v>
      </c>
      <c r="H15" s="653" t="str">
        <f>'DataBase (IMO form)'!U9</f>
        <v>BARCARENA, BRAZIL</v>
      </c>
      <c r="I15" s="654" t="e">
        <v>#REF!</v>
      </c>
      <c r="J15" s="655" t="str">
        <f>'DataBase (IMO form)'!H9</f>
        <v>M</v>
      </c>
      <c r="K15" s="655" t="s">
        <v>256</v>
      </c>
      <c r="L15" s="656" t="str">
        <f>'DataBase (IMO form)'!W9</f>
        <v>BA8948788</v>
      </c>
      <c r="M15" s="657" t="str">
        <f>'DataBase (IMO form)'!Y9</f>
        <v>KERKYRA</v>
      </c>
      <c r="N15" s="658">
        <f>'DataBase (IMO form)'!X9</f>
        <v>49542</v>
      </c>
    </row>
    <row r="16" spans="1:14" s="495" customFormat="1" ht="39" customHeight="1" thickBot="1">
      <c r="A16" s="1159"/>
      <c r="B16" s="648">
        <f>'DataBase (IMO form)'!B10</f>
        <v>3</v>
      </c>
      <c r="C16" s="649" t="str">
        <f>'DataBase (IMO form)'!D10</f>
        <v>TEJU</v>
      </c>
      <c r="D16" s="649" t="str">
        <f>'DataBase (IMO form)'!E10</f>
        <v>TOMA</v>
      </c>
      <c r="E16" s="650" t="str">
        <f>'DataBase (IMO form)'!C10</f>
        <v>TR CHIEF OFF</v>
      </c>
      <c r="F16" s="651" t="str">
        <f>'DataBase (IMO form)'!L10</f>
        <v>ROMANIAN</v>
      </c>
      <c r="G16" s="652">
        <f>'DataBase (IMO form)'!T10</f>
        <v>46081</v>
      </c>
      <c r="H16" s="653" t="str">
        <f>'DataBase (IMO form)'!U10</f>
        <v>BARCARENA, BRAZIL</v>
      </c>
      <c r="I16" s="654" t="e">
        <v>#REF!</v>
      </c>
      <c r="J16" s="655" t="str">
        <f>'DataBase (IMO form)'!H10</f>
        <v>M</v>
      </c>
      <c r="K16" s="655" t="s">
        <v>256</v>
      </c>
      <c r="L16" s="656" t="str">
        <f>'DataBase (IMO form)'!W10</f>
        <v>059130390</v>
      </c>
      <c r="M16" s="657" t="str">
        <f>'DataBase (IMO form)'!Y10</f>
        <v>CONSTANTA</v>
      </c>
      <c r="N16" s="658">
        <f>'DataBase (IMO form)'!X10</f>
        <v>47775</v>
      </c>
    </row>
    <row r="17" spans="1:22" s="495" customFormat="1" ht="39" customHeight="1" thickBot="1">
      <c r="A17" s="1159"/>
      <c r="B17" s="648">
        <f>'DataBase (IMO form)'!B11</f>
        <v>4</v>
      </c>
      <c r="C17" s="649" t="str">
        <f>'DataBase (IMO form)'!D11</f>
        <v>BUTS</v>
      </c>
      <c r="D17" s="649" t="str">
        <f>'DataBase (IMO form)'!E11</f>
        <v>KOSTIANTYN</v>
      </c>
      <c r="E17" s="650" t="str">
        <f>'DataBase (IMO form)'!C11</f>
        <v>2ND OFF</v>
      </c>
      <c r="F17" s="651" t="str">
        <f>'DataBase (IMO form)'!L11</f>
        <v>UKRAINIAN</v>
      </c>
      <c r="G17" s="652">
        <f>'DataBase (IMO form)'!T11</f>
        <v>46035</v>
      </c>
      <c r="H17" s="653" t="str">
        <f>'DataBase (IMO form)'!U11</f>
        <v>FREEPORT, BAHAMAS</v>
      </c>
      <c r="I17" s="654" t="e">
        <v>#REF!</v>
      </c>
      <c r="J17" s="655" t="str">
        <f>'DataBase (IMO form)'!H11</f>
        <v>M</v>
      </c>
      <c r="K17" s="655" t="s">
        <v>256</v>
      </c>
      <c r="L17" s="656" t="str">
        <f>'DataBase (IMO form)'!W11</f>
        <v>GL504758</v>
      </c>
      <c r="M17" s="657" t="str">
        <f>'DataBase (IMO form)'!Y11</f>
        <v>2110</v>
      </c>
      <c r="N17" s="658">
        <f>'DataBase (IMO form)'!X11</f>
        <v>49422</v>
      </c>
    </row>
    <row r="18" spans="1:22" s="495" customFormat="1" ht="39" customHeight="1" thickBot="1">
      <c r="A18" s="1159"/>
      <c r="B18" s="648">
        <f>'DataBase (IMO form)'!B12</f>
        <v>5</v>
      </c>
      <c r="C18" s="649" t="str">
        <f>'DataBase (IMO form)'!D12</f>
        <v xml:space="preserve">STAMATIOU </v>
      </c>
      <c r="D18" s="649" t="str">
        <f>'DataBase (IMO form)'!E12</f>
        <v>VASILEIOS</v>
      </c>
      <c r="E18" s="650" t="str">
        <f>'DataBase (IMO form)'!C12</f>
        <v>3RD OFF</v>
      </c>
      <c r="F18" s="651" t="str">
        <f>'DataBase (IMO form)'!L12</f>
        <v>HELLENIC</v>
      </c>
      <c r="G18" s="652">
        <f>'DataBase (IMO form)'!T12</f>
        <v>46063</v>
      </c>
      <c r="H18" s="653" t="str">
        <f>'DataBase (IMO form)'!U12</f>
        <v>ALTAMIRA, MEXICO</v>
      </c>
      <c r="I18" s="654" t="e">
        <v>#REF!</v>
      </c>
      <c r="J18" s="655" t="str">
        <f>'DataBase (IMO form)'!H12</f>
        <v>M</v>
      </c>
      <c r="K18" s="655" t="s">
        <v>256</v>
      </c>
      <c r="L18" s="656" t="str">
        <f>'DataBase (IMO form)'!W12</f>
        <v>AY1388281</v>
      </c>
      <c r="M18" s="657" t="str">
        <f>'DataBase (IMO form)'!Y12</f>
        <v>N.P.C.</v>
      </c>
      <c r="N18" s="658">
        <f>'DataBase (IMO form)'!X12</f>
        <v>48562</v>
      </c>
    </row>
    <row r="19" spans="1:22" s="495" customFormat="1" ht="39" customHeight="1" thickBot="1">
      <c r="A19" s="1159"/>
      <c r="B19" s="648">
        <f>'DataBase (IMO form)'!B13</f>
        <v>6</v>
      </c>
      <c r="C19" s="649" t="str">
        <f>'DataBase (IMO form)'!D13</f>
        <v>KOUIMOV</v>
      </c>
      <c r="D19" s="649" t="str">
        <f>'DataBase (IMO form)'!E13</f>
        <v>ENTOUARNT OR EDUARD</v>
      </c>
      <c r="E19" s="650" t="str">
        <f>'DataBase (IMO form)'!C13</f>
        <v xml:space="preserve">3RD OFF </v>
      </c>
      <c r="F19" s="651" t="str">
        <f>'DataBase (IMO form)'!L13</f>
        <v>HELLENIC</v>
      </c>
      <c r="G19" s="652">
        <f>'DataBase (IMO form)'!T13</f>
        <v>46042</v>
      </c>
      <c r="H19" s="653" t="str">
        <f>'DataBase (IMO form)'!U13</f>
        <v>GALVESTON, USA</v>
      </c>
      <c r="I19" s="654" t="e">
        <v>#REF!</v>
      </c>
      <c r="J19" s="655" t="str">
        <f>'DataBase (IMO form)'!H13</f>
        <v>M</v>
      </c>
      <c r="K19" s="655" t="s">
        <v>256</v>
      </c>
      <c r="L19" s="656" t="str">
        <f>'DataBase (IMO form)'!W13</f>
        <v>AY4667152</v>
      </c>
      <c r="M19" s="657" t="str">
        <f>'DataBase (IMO form)'!Y13</f>
        <v>N.P.C.</v>
      </c>
      <c r="N19" s="658">
        <f>'DataBase (IMO form)'!X13</f>
        <v>48777</v>
      </c>
    </row>
    <row r="20" spans="1:22" s="495" customFormat="1" ht="39" customHeight="1" thickBot="1">
      <c r="A20" s="1159"/>
      <c r="B20" s="648">
        <f>'DataBase (IMO form)'!B14</f>
        <v>7</v>
      </c>
      <c r="C20" s="649" t="str">
        <f>'DataBase (IMO form)'!D14</f>
        <v>CHATZIDIMITRIOU</v>
      </c>
      <c r="D20" s="649" t="str">
        <f>'DataBase (IMO form)'!E14</f>
        <v>MARIA</v>
      </c>
      <c r="E20" s="650" t="str">
        <f>'DataBase (IMO form)'!C14</f>
        <v>DECK CADET</v>
      </c>
      <c r="F20" s="651" t="str">
        <f>'DataBase (IMO form)'!L14</f>
        <v>HELLENIC</v>
      </c>
      <c r="G20" s="652">
        <f>'DataBase (IMO form)'!T14</f>
        <v>46042</v>
      </c>
      <c r="H20" s="653" t="str">
        <f>'DataBase (IMO form)'!U14</f>
        <v>GALVESTON, USA</v>
      </c>
      <c r="I20" s="654" t="e">
        <v>#REF!</v>
      </c>
      <c r="J20" s="655" t="str">
        <f>'DataBase (IMO form)'!H14</f>
        <v>F</v>
      </c>
      <c r="K20" s="655" t="s">
        <v>256</v>
      </c>
      <c r="L20" s="656" t="str">
        <f>'DataBase (IMO form)'!W14</f>
        <v>AT5546138</v>
      </c>
      <c r="M20" s="657" t="str">
        <f>'DataBase (IMO form)'!Y14</f>
        <v>N.P.C.</v>
      </c>
      <c r="N20" s="658">
        <f>'DataBase (IMO form)'!X14</f>
        <v>46511</v>
      </c>
      <c r="V20" s="496"/>
    </row>
    <row r="21" spans="1:22" s="495" customFormat="1" ht="39" customHeight="1" thickBot="1">
      <c r="A21" s="1159"/>
      <c r="B21" s="648">
        <f>'DataBase (IMO form)'!B15</f>
        <v>8</v>
      </c>
      <c r="C21" s="649" t="str">
        <f>'DataBase (IMO form)'!D15</f>
        <v xml:space="preserve">PETROPOULOS </v>
      </c>
      <c r="D21" s="649" t="str">
        <f>'DataBase (IMO form)'!E15</f>
        <v>CHRISTOS</v>
      </c>
      <c r="E21" s="650" t="str">
        <f>'DataBase (IMO form)'!C15</f>
        <v>CHIEF ENG</v>
      </c>
      <c r="F21" s="651" t="str">
        <f>'DataBase (IMO form)'!L15</f>
        <v>HELLENIC</v>
      </c>
      <c r="G21" s="652">
        <f>'DataBase (IMO form)'!T15</f>
        <v>46006</v>
      </c>
      <c r="H21" s="653" t="str">
        <f>'DataBase (IMO form)'!U15</f>
        <v>KALOI LIMENES,GREECE</v>
      </c>
      <c r="I21" s="654" t="e">
        <v>#REF!</v>
      </c>
      <c r="J21" s="655" t="str">
        <f>'DataBase (IMO form)'!H15</f>
        <v>M</v>
      </c>
      <c r="K21" s="655" t="s">
        <v>256</v>
      </c>
      <c r="L21" s="656" t="str">
        <f>'DataBase (IMO form)'!W15</f>
        <v>BA2822002</v>
      </c>
      <c r="M21" s="657" t="str">
        <f>'DataBase (IMO form)'!Y15</f>
        <v>H.P.H./P.S.D.D.</v>
      </c>
      <c r="N21" s="658">
        <f>'DataBase (IMO form)'!X15</f>
        <v>49133</v>
      </c>
    </row>
    <row r="22" spans="1:22" s="495" customFormat="1" ht="39" customHeight="1" thickBot="1">
      <c r="A22" s="1159"/>
      <c r="B22" s="648">
        <f>'DataBase (IMO form)'!B16</f>
        <v>9</v>
      </c>
      <c r="C22" s="649" t="str">
        <f>'DataBase (IMO form)'!D16</f>
        <v>SYTNYK</v>
      </c>
      <c r="D22" s="649" t="str">
        <f>'DataBase (IMO form)'!E16</f>
        <v xml:space="preserve">YEVGENIY </v>
      </c>
      <c r="E22" s="650" t="str">
        <f>'DataBase (IMO form)'!C16</f>
        <v>2ND ENG</v>
      </c>
      <c r="F22" s="651" t="str">
        <f>'DataBase (IMO form)'!L16</f>
        <v xml:space="preserve">UKRAINIAN </v>
      </c>
      <c r="G22" s="652">
        <f>'DataBase (IMO form)'!T16</f>
        <v>45980</v>
      </c>
      <c r="H22" s="653" t="str">
        <f>'DataBase (IMO form)'!U16</f>
        <v>SABINE PASS, USA</v>
      </c>
      <c r="I22" s="654" t="e">
        <v>#REF!</v>
      </c>
      <c r="J22" s="655" t="str">
        <f>'DataBase (IMO form)'!H16</f>
        <v>M</v>
      </c>
      <c r="K22" s="655" t="s">
        <v>256</v>
      </c>
      <c r="L22" s="656" t="str">
        <f>'DataBase (IMO form)'!W16</f>
        <v>GD461450</v>
      </c>
      <c r="M22" s="657" t="str">
        <f>'DataBase (IMO form)'!Y16</f>
        <v>5116</v>
      </c>
      <c r="N22" s="658">
        <f>'DataBase (IMO form)'!X16</f>
        <v>48424</v>
      </c>
    </row>
    <row r="23" spans="1:22" s="495" customFormat="1" ht="39" customHeight="1" thickBot="1">
      <c r="A23" s="1159"/>
      <c r="B23" s="648">
        <f>'DataBase (IMO form)'!B17</f>
        <v>10</v>
      </c>
      <c r="C23" s="649" t="str">
        <f>'DataBase (IMO form)'!D17</f>
        <v>KACHUR</v>
      </c>
      <c r="D23" s="649" t="str">
        <f>'DataBase (IMO form)'!E17</f>
        <v>MYKOLA</v>
      </c>
      <c r="E23" s="650" t="str">
        <f>'DataBase (IMO form)'!C17</f>
        <v>3RD ENG</v>
      </c>
      <c r="F23" s="651" t="str">
        <f>'DataBase (IMO form)'!L17</f>
        <v>UKRAINIAN</v>
      </c>
      <c r="G23" s="652">
        <f>'DataBase (IMO form)'!T17</f>
        <v>46035</v>
      </c>
      <c r="H23" s="653" t="str">
        <f>'DataBase (IMO form)'!U17</f>
        <v>FREEPORT, BAHAMAS</v>
      </c>
      <c r="I23" s="654" t="e">
        <v>#REF!</v>
      </c>
      <c r="J23" s="655" t="str">
        <f>'DataBase (IMO form)'!H17</f>
        <v>M</v>
      </c>
      <c r="K23" s="655" t="s">
        <v>256</v>
      </c>
      <c r="L23" s="656" t="str">
        <f>'DataBase (IMO form)'!W17</f>
        <v>FS151214</v>
      </c>
      <c r="M23" s="657" t="str">
        <f>'DataBase (IMO form)'!Y17</f>
        <v>6512</v>
      </c>
      <c r="N23" s="658">
        <f>'DataBase (IMO form)'!X17</f>
        <v>46978</v>
      </c>
    </row>
    <row r="24" spans="1:22" s="495" customFormat="1" ht="39" customHeight="1" thickBot="1">
      <c r="A24" s="1159"/>
      <c r="B24" s="648">
        <f>'DataBase (IMO form)'!B18</f>
        <v>11</v>
      </c>
      <c r="C24" s="649" t="str">
        <f>'DataBase (IMO form)'!D18</f>
        <v>COLEASA</v>
      </c>
      <c r="D24" s="649" t="str">
        <f>'DataBase (IMO form)'!E18</f>
        <v>STEFAN  CIPRIAN</v>
      </c>
      <c r="E24" s="650" t="str">
        <f>'DataBase (IMO form)'!C18</f>
        <v>3RD ENG</v>
      </c>
      <c r="F24" s="651" t="str">
        <f>'DataBase (IMO form)'!L18</f>
        <v>ROMANIAN</v>
      </c>
      <c r="G24" s="652">
        <f>'DataBase (IMO form)'!T18</f>
        <v>45912</v>
      </c>
      <c r="H24" s="653" t="str">
        <f>'DataBase (IMO form)'!U18</f>
        <v>ALTAMIRA, MEXICO</v>
      </c>
      <c r="I24" s="654" t="e">
        <v>#REF!</v>
      </c>
      <c r="J24" s="655" t="str">
        <f>'DataBase (IMO form)'!H18</f>
        <v>M</v>
      </c>
      <c r="K24" s="655" t="s">
        <v>256</v>
      </c>
      <c r="L24" s="656" t="str">
        <f>'DataBase (IMO form)'!W18</f>
        <v>063513795</v>
      </c>
      <c r="M24" s="657" t="str">
        <f>'DataBase (IMO form)'!Y18</f>
        <v>CONSTANTA</v>
      </c>
      <c r="N24" s="658">
        <f>'DataBase (IMO form)'!X18</f>
        <v>48638</v>
      </c>
      <c r="Q24" s="495" t="s">
        <v>143</v>
      </c>
    </row>
    <row r="25" spans="1:22" s="497" customFormat="1" ht="39" customHeight="1" thickBot="1">
      <c r="A25" s="1159"/>
      <c r="B25" s="648">
        <f>'DataBase (IMO form)'!B19</f>
        <v>12</v>
      </c>
      <c r="C25" s="649" t="str">
        <f>'DataBase (IMO form)'!D19</f>
        <v xml:space="preserve">LOFTSALIS </v>
      </c>
      <c r="D25" s="649" t="str">
        <f>'DataBase (IMO form)'!E19</f>
        <v>APOSTOLOS</v>
      </c>
      <c r="E25" s="650" t="str">
        <f>'DataBase (IMO form)'!C19</f>
        <v>4TH ENG</v>
      </c>
      <c r="F25" s="651" t="str">
        <f>'DataBase (IMO form)'!L19</f>
        <v>HELLENIC</v>
      </c>
      <c r="G25" s="652">
        <f>'DataBase (IMO form)'!T19</f>
        <v>46042</v>
      </c>
      <c r="H25" s="653" t="str">
        <f>'DataBase (IMO form)'!U19</f>
        <v>GALVESTON, USA</v>
      </c>
      <c r="I25" s="654" t="e">
        <v>#REF!</v>
      </c>
      <c r="J25" s="655" t="str">
        <f>'DataBase (IMO form)'!H19</f>
        <v>M</v>
      </c>
      <c r="K25" s="655" t="s">
        <v>256</v>
      </c>
      <c r="L25" s="656" t="str">
        <f>'DataBase (IMO form)'!W19</f>
        <v>BB0444273</v>
      </c>
      <c r="M25" s="657" t="str">
        <f>'DataBase (IMO form)'!Y19</f>
        <v>H.P.H./P.S.D.D.</v>
      </c>
      <c r="N25" s="658">
        <f>'DataBase (IMO form)'!X19</f>
        <v>49626</v>
      </c>
    </row>
    <row r="26" spans="1:22" s="497" customFormat="1" ht="39" customHeight="1" thickBot="1">
      <c r="A26" s="1159"/>
      <c r="B26" s="648">
        <f>'DataBase (IMO form)'!B20</f>
        <v>13</v>
      </c>
      <c r="C26" s="649" t="str">
        <f>'DataBase (IMO form)'!D20</f>
        <v>YEMELIANOV</v>
      </c>
      <c r="D26" s="649" t="str">
        <f>'DataBase (IMO form)'!E20</f>
        <v>RICHARD</v>
      </c>
      <c r="E26" s="650" t="str">
        <f>'DataBase (IMO form)'!C20</f>
        <v xml:space="preserve">GAS ENG </v>
      </c>
      <c r="F26" s="651" t="str">
        <f>'DataBase (IMO form)'!L20</f>
        <v>UKRAINIAN</v>
      </c>
      <c r="G26" s="652">
        <f>'DataBase (IMO form)'!T20</f>
        <v>46035</v>
      </c>
      <c r="H26" s="653" t="str">
        <f>'DataBase (IMO form)'!U20</f>
        <v>FREEPORT, BAHAMAS</v>
      </c>
      <c r="I26" s="654" t="e">
        <v>#REF!</v>
      </c>
      <c r="J26" s="655" t="str">
        <f>'DataBase (IMO form)'!H20</f>
        <v>M</v>
      </c>
      <c r="K26" s="655" t="s">
        <v>256</v>
      </c>
      <c r="L26" s="656" t="str">
        <f>'DataBase (IMO form)'!W20</f>
        <v>FJ899634</v>
      </c>
      <c r="M26" s="657" t="str">
        <f>'DataBase (IMO form)'!Y20</f>
        <v>5101</v>
      </c>
      <c r="N26" s="658">
        <f>'DataBase (IMO form)'!X20</f>
        <v>46699</v>
      </c>
    </row>
    <row r="27" spans="1:22" s="497" customFormat="1" ht="39" customHeight="1" thickBot="1">
      <c r="A27" s="1156"/>
      <c r="B27" s="648">
        <f>'DataBase (IMO form)'!B21</f>
        <v>14</v>
      </c>
      <c r="C27" s="649" t="str">
        <f>'DataBase (IMO form)'!D21</f>
        <v>GIDEI</v>
      </c>
      <c r="D27" s="649" t="str">
        <f>'DataBase (IMO form)'!E21</f>
        <v>NICOLAE</v>
      </c>
      <c r="E27" s="650" t="str">
        <f>'DataBase (IMO form)'!C21</f>
        <v>SETO</v>
      </c>
      <c r="F27" s="651" t="str">
        <f>'DataBase (IMO form)'!L21</f>
        <v>ROMANIAN</v>
      </c>
      <c r="G27" s="652">
        <f>'DataBase (IMO form)'!T21</f>
        <v>46042</v>
      </c>
      <c r="H27" s="653" t="str">
        <f>'DataBase (IMO form)'!U21</f>
        <v>GALVESTON, USA</v>
      </c>
      <c r="I27" s="654" t="e">
        <v>#REF!</v>
      </c>
      <c r="J27" s="655" t="str">
        <f>'DataBase (IMO form)'!H21</f>
        <v>M</v>
      </c>
      <c r="K27" s="655" t="s">
        <v>256</v>
      </c>
      <c r="L27" s="656" t="str">
        <f>'DataBase (IMO form)'!W21</f>
        <v>056799980</v>
      </c>
      <c r="M27" s="657" t="str">
        <f>'DataBase (IMO form)'!Y21</f>
        <v>GALATI</v>
      </c>
      <c r="N27" s="658">
        <f>'DataBase (IMO form)'!X21</f>
        <v>47104</v>
      </c>
    </row>
    <row r="28" spans="1:22" s="497" customFormat="1" ht="39" customHeight="1" thickBot="1">
      <c r="A28" s="1156"/>
      <c r="B28" s="648">
        <f>'DataBase (IMO form)'!B22</f>
        <v>15</v>
      </c>
      <c r="C28" s="649" t="str">
        <f>'DataBase (IMO form)'!D22</f>
        <v>LADINES</v>
      </c>
      <c r="D28" s="649" t="str">
        <f>'DataBase (IMO form)'!E22</f>
        <v>RODOLFO JR.</v>
      </c>
      <c r="E28" s="650" t="str">
        <f>'DataBase (IMO form)'!C22</f>
        <v>BOSUN</v>
      </c>
      <c r="F28" s="651" t="str">
        <f>'DataBase (IMO form)'!L22</f>
        <v>FILIPINO</v>
      </c>
      <c r="G28" s="652">
        <f>'DataBase (IMO form)'!T22</f>
        <v>46081</v>
      </c>
      <c r="H28" s="653" t="str">
        <f>'DataBase (IMO form)'!U22</f>
        <v>BARCARENA, BRAZIL</v>
      </c>
      <c r="I28" s="654" t="e">
        <v>#REF!</v>
      </c>
      <c r="J28" s="655" t="str">
        <f>'DataBase (IMO form)'!H22</f>
        <v>M</v>
      </c>
      <c r="K28" s="655" t="s">
        <v>256</v>
      </c>
      <c r="L28" s="656" t="str">
        <f>'DataBase (IMO form)'!W22</f>
        <v>P9127792B</v>
      </c>
      <c r="M28" s="657" t="str">
        <f>'DataBase (IMO form)'!Y22</f>
        <v xml:space="preserve">DFA LUCENA </v>
      </c>
      <c r="N28" s="658">
        <f>'DataBase (IMO form)'!X22</f>
        <v>48275</v>
      </c>
    </row>
    <row r="29" spans="1:22" s="497" customFormat="1" ht="39" customHeight="1" thickBot="1">
      <c r="A29" s="1156"/>
      <c r="B29" s="648">
        <f>'DataBase (IMO form)'!B23</f>
        <v>16</v>
      </c>
      <c r="C29" s="649" t="str">
        <f>'DataBase (IMO form)'!D23</f>
        <v xml:space="preserve">LUPAZ </v>
      </c>
      <c r="D29" s="649" t="str">
        <f>'DataBase (IMO form)'!E23</f>
        <v>ALBERTO JR.</v>
      </c>
      <c r="E29" s="650" t="str">
        <f>'DataBase (IMO form)'!C23</f>
        <v>AB</v>
      </c>
      <c r="F29" s="651" t="str">
        <f>'DataBase (IMO form)'!L23</f>
        <v>FILIPINO</v>
      </c>
      <c r="G29" s="652">
        <f>'DataBase (IMO form)'!T23</f>
        <v>46081</v>
      </c>
      <c r="H29" s="653" t="str">
        <f>'DataBase (IMO form)'!U23</f>
        <v>BARCARENA, BRAZIL</v>
      </c>
      <c r="I29" s="654" t="e">
        <v>#REF!</v>
      </c>
      <c r="J29" s="655" t="str">
        <f>'DataBase (IMO form)'!H23</f>
        <v>M</v>
      </c>
      <c r="K29" s="655" t="s">
        <v>256</v>
      </c>
      <c r="L29" s="656" t="str">
        <f>'DataBase (IMO form)'!W23</f>
        <v>P5223721B</v>
      </c>
      <c r="M29" s="657" t="str">
        <f>'DataBase (IMO form)'!Y23</f>
        <v>DFA NCR WEST</v>
      </c>
      <c r="N29" s="658">
        <f>'DataBase (IMO form)'!X23</f>
        <v>47649</v>
      </c>
    </row>
    <row r="30" spans="1:22" s="497" customFormat="1" ht="39" customHeight="1" thickBot="1">
      <c r="A30" s="1156"/>
      <c r="B30" s="648">
        <f>'DataBase (IMO form)'!B24</f>
        <v>17</v>
      </c>
      <c r="C30" s="649" t="str">
        <f>'DataBase (IMO form)'!D24</f>
        <v xml:space="preserve">PALERACIO </v>
      </c>
      <c r="D30" s="649" t="str">
        <f>'DataBase (IMO form)'!E24</f>
        <v>JOHN CALLED</v>
      </c>
      <c r="E30" s="650" t="str">
        <f>'DataBase (IMO form)'!C24</f>
        <v>AB</v>
      </c>
      <c r="F30" s="651" t="str">
        <f>'DataBase (IMO form)'!L24</f>
        <v>FILIPINO</v>
      </c>
      <c r="G30" s="652">
        <f>'DataBase (IMO form)'!T24</f>
        <v>46081</v>
      </c>
      <c r="H30" s="653" t="str">
        <f>'DataBase (IMO form)'!U24</f>
        <v>BARCARENA, BRAZIL</v>
      </c>
      <c r="I30" s="654" t="e">
        <v>#REF!</v>
      </c>
      <c r="J30" s="655" t="str">
        <f>'DataBase (IMO form)'!H24</f>
        <v>M</v>
      </c>
      <c r="K30" s="655" t="s">
        <v>256</v>
      </c>
      <c r="L30" s="656" t="str">
        <f>'DataBase (IMO form)'!W24</f>
        <v>P5914768B</v>
      </c>
      <c r="M30" s="657" t="str">
        <f>'DataBase (IMO form)'!Y24</f>
        <v xml:space="preserve">DFA LUCENA </v>
      </c>
      <c r="N30" s="658">
        <f>'DataBase (IMO form)'!X24</f>
        <v>47825</v>
      </c>
    </row>
    <row r="31" spans="1:22" s="497" customFormat="1" ht="39" customHeight="1" thickBot="1">
      <c r="A31" s="1156"/>
      <c r="B31" s="648">
        <f>'DataBase (IMO form)'!B25</f>
        <v>18</v>
      </c>
      <c r="C31" s="649" t="str">
        <f>'DataBase (IMO form)'!D25</f>
        <v xml:space="preserve">RUFON </v>
      </c>
      <c r="D31" s="649" t="str">
        <f>'DataBase (IMO form)'!E25</f>
        <v>NOEL III</v>
      </c>
      <c r="E31" s="650" t="str">
        <f>'DataBase (IMO form)'!C25</f>
        <v>AB</v>
      </c>
      <c r="F31" s="651" t="str">
        <f>'DataBase (IMO form)'!L25</f>
        <v>FILIPINO</v>
      </c>
      <c r="G31" s="652">
        <f>'DataBase (IMO form)'!T25</f>
        <v>45957</v>
      </c>
      <c r="H31" s="653" t="str">
        <f>'DataBase (IMO form)'!U25</f>
        <v>MUKRAN,GERMANY</v>
      </c>
      <c r="I31" s="654" t="e">
        <v>#REF!</v>
      </c>
      <c r="J31" s="655" t="str">
        <f>'DataBase (IMO form)'!H25</f>
        <v>M</v>
      </c>
      <c r="K31" s="655" t="s">
        <v>256</v>
      </c>
      <c r="L31" s="656" t="str">
        <f>'DataBase (IMO form)'!W25</f>
        <v>P3324286B</v>
      </c>
      <c r="M31" s="657" t="str">
        <f>'DataBase (IMO form)'!Y25</f>
        <v>DFA NCR NORTHEAST</v>
      </c>
      <c r="N31" s="658">
        <f>'DataBase (IMO form)'!X25</f>
        <v>47384</v>
      </c>
    </row>
    <row r="32" spans="1:22" s="497" customFormat="1" ht="39" customHeight="1" thickBot="1">
      <c r="A32" s="1156"/>
      <c r="B32" s="648">
        <f>'DataBase (IMO form)'!B26</f>
        <v>19</v>
      </c>
      <c r="C32" s="649" t="str">
        <f>'DataBase (IMO form)'!D26</f>
        <v>CASTILLO</v>
      </c>
      <c r="D32" s="649" t="str">
        <f>'DataBase (IMO form)'!E26</f>
        <v>TIMBERT</v>
      </c>
      <c r="E32" s="650" t="str">
        <f>'DataBase (IMO form)'!C26</f>
        <v>AB</v>
      </c>
      <c r="F32" s="651" t="str">
        <f>'DataBase (IMO form)'!L26</f>
        <v>FILIPINO</v>
      </c>
      <c r="G32" s="652">
        <f>'DataBase (IMO form)'!T26</f>
        <v>46081</v>
      </c>
      <c r="H32" s="653" t="str">
        <f>'DataBase (IMO form)'!U26</f>
        <v>BARCARENA, BRAZIL</v>
      </c>
      <c r="I32" s="654" t="e">
        <v>#REF!</v>
      </c>
      <c r="J32" s="655" t="str">
        <f>'DataBase (IMO form)'!H26</f>
        <v>M</v>
      </c>
      <c r="K32" s="655" t="s">
        <v>256</v>
      </c>
      <c r="L32" s="656" t="str">
        <f>'DataBase (IMO form)'!W26</f>
        <v>P4666149B</v>
      </c>
      <c r="M32" s="657" t="str">
        <f>'DataBase (IMO form)'!Y26</f>
        <v>DFA MANILA</v>
      </c>
      <c r="N32" s="658">
        <f>'DataBase (IMO form)'!X26</f>
        <v>47516</v>
      </c>
    </row>
    <row r="33" spans="1:14" s="497" customFormat="1" ht="39" customHeight="1" thickBot="1">
      <c r="A33" s="1156"/>
      <c r="B33" s="648">
        <f>'DataBase (IMO form)'!B27</f>
        <v>20</v>
      </c>
      <c r="C33" s="649" t="str">
        <f>'DataBase (IMO form)'!D27</f>
        <v>ACULIT</v>
      </c>
      <c r="D33" s="649" t="str">
        <f>'DataBase (IMO form)'!E27</f>
        <v>MIKE LISLIE</v>
      </c>
      <c r="E33" s="650" t="str">
        <f>'DataBase (IMO form)'!C27</f>
        <v>OS</v>
      </c>
      <c r="F33" s="651" t="str">
        <f>'DataBase (IMO form)'!L27</f>
        <v>FILIPINO</v>
      </c>
      <c r="G33" s="652">
        <f>'DataBase (IMO form)'!T27</f>
        <v>45830</v>
      </c>
      <c r="H33" s="653" t="str">
        <f>'DataBase (IMO form)'!U27</f>
        <v>WILHELMSHAVEN, GERMANY</v>
      </c>
      <c r="I33" s="654" t="e">
        <v>#REF!</v>
      </c>
      <c r="J33" s="655" t="str">
        <f>'DataBase (IMO form)'!H27</f>
        <v>M</v>
      </c>
      <c r="K33" s="655" t="s">
        <v>256</v>
      </c>
      <c r="L33" s="656" t="str">
        <f>'DataBase (IMO form)'!W27</f>
        <v>P3505092B</v>
      </c>
      <c r="M33" s="657" t="str">
        <f>'DataBase (IMO form)'!Y27</f>
        <v>DFA BACOLOD</v>
      </c>
      <c r="N33" s="658">
        <f>'DataBase (IMO form)'!X27</f>
        <v>47401</v>
      </c>
    </row>
    <row r="34" spans="1:14" s="497" customFormat="1" ht="39.75" customHeight="1" thickBot="1">
      <c r="A34" s="546"/>
      <c r="B34" s="648">
        <f>'DataBase (IMO form)'!B28</f>
        <v>21</v>
      </c>
      <c r="C34" s="649" t="str">
        <f>'DataBase (IMO form)'!D28</f>
        <v>DOMONDON</v>
      </c>
      <c r="D34" s="649" t="str">
        <f>'DataBase (IMO form)'!E28</f>
        <v>DEXTER</v>
      </c>
      <c r="E34" s="650" t="str">
        <f>'DataBase (IMO form)'!C28</f>
        <v>OS</v>
      </c>
      <c r="F34" s="651" t="str">
        <f>'DataBase (IMO form)'!L28</f>
        <v>FILIPINO</v>
      </c>
      <c r="G34" s="652">
        <f>'DataBase (IMO form)'!T28</f>
        <v>45980</v>
      </c>
      <c r="H34" s="653" t="str">
        <f>'DataBase (IMO form)'!U28</f>
        <v>SABINE PASS, USA</v>
      </c>
      <c r="I34" s="654" t="e">
        <v>#REF!</v>
      </c>
      <c r="J34" s="655" t="str">
        <f>'DataBase (IMO form)'!H28</f>
        <v>M</v>
      </c>
      <c r="K34" s="655" t="s">
        <v>256</v>
      </c>
      <c r="L34" s="656" t="str">
        <f>'DataBase (IMO form)'!W28</f>
        <v>P6400609A</v>
      </c>
      <c r="M34" s="657" t="str">
        <f>'DataBase (IMO form)'!Y28</f>
        <v>DFA NCR WEST</v>
      </c>
      <c r="N34" s="658">
        <f>'DataBase (IMO form)'!X28</f>
        <v>46824</v>
      </c>
    </row>
    <row r="35" spans="1:14" s="497" customFormat="1" ht="39.75" customHeight="1" thickBot="1">
      <c r="A35" s="546"/>
      <c r="B35" s="648">
        <f>'DataBase (IMO form)'!B29</f>
        <v>22</v>
      </c>
      <c r="C35" s="649" t="str">
        <f>'DataBase (IMO form)'!D29</f>
        <v>DACANAY</v>
      </c>
      <c r="D35" s="649" t="str">
        <f>'DataBase (IMO form)'!E29</f>
        <v>JAYSON</v>
      </c>
      <c r="E35" s="650" t="str">
        <f>'DataBase (IMO form)'!C29</f>
        <v>FITTER</v>
      </c>
      <c r="F35" s="651" t="str">
        <f>'DataBase (IMO form)'!L29</f>
        <v>FILIPINO</v>
      </c>
      <c r="G35" s="652">
        <f>'DataBase (IMO form)'!T29</f>
        <v>45830</v>
      </c>
      <c r="H35" s="653" t="str">
        <f>'DataBase (IMO form)'!U29</f>
        <v>WILHELMSHAVEN, GERMANY</v>
      </c>
      <c r="I35" s="654" t="e">
        <v>#REF!</v>
      </c>
      <c r="J35" s="655" t="str">
        <f>'DataBase (IMO form)'!H29</f>
        <v>M</v>
      </c>
      <c r="K35" s="655" t="s">
        <v>256</v>
      </c>
      <c r="L35" s="656" t="str">
        <f>'DataBase (IMO form)'!W29</f>
        <v>P6556840B</v>
      </c>
      <c r="M35" s="657" t="str">
        <f>'DataBase (IMO form)'!Y29</f>
        <v>DFA LA UNION</v>
      </c>
      <c r="N35" s="658">
        <f>'DataBase (IMO form)'!X29</f>
        <v>47931</v>
      </c>
    </row>
    <row r="36" spans="1:14" s="497" customFormat="1" ht="39.75" customHeight="1" thickBot="1">
      <c r="A36" s="546"/>
      <c r="B36" s="648">
        <f>'DataBase (IMO form)'!B30</f>
        <v>23</v>
      </c>
      <c r="C36" s="649" t="str">
        <f>'DataBase (IMO form)'!D30</f>
        <v>APID</v>
      </c>
      <c r="D36" s="649" t="str">
        <f>'DataBase (IMO form)'!E30</f>
        <v>LORD BYRON</v>
      </c>
      <c r="E36" s="650" t="str">
        <f>'DataBase (IMO form)'!C30</f>
        <v>MTM</v>
      </c>
      <c r="F36" s="651" t="str">
        <f>'DataBase (IMO form)'!L30</f>
        <v>FILIPINO</v>
      </c>
      <c r="G36" s="652">
        <f>'DataBase (IMO form)'!T30</f>
        <v>45957</v>
      </c>
      <c r="H36" s="653" t="str">
        <f>'DataBase (IMO form)'!U30</f>
        <v>MUKRAN,GERMANY</v>
      </c>
      <c r="I36" s="654" t="e">
        <v>#REF!</v>
      </c>
      <c r="J36" s="655" t="str">
        <f>'DataBase (IMO form)'!H30</f>
        <v>M</v>
      </c>
      <c r="K36" s="655" t="s">
        <v>256</v>
      </c>
      <c r="L36" s="656" t="str">
        <f>'DataBase (IMO form)'!W30</f>
        <v>P6351015A</v>
      </c>
      <c r="M36" s="657" t="str">
        <f>'DataBase (IMO form)'!Y30</f>
        <v>DFA MANILA</v>
      </c>
      <c r="N36" s="658">
        <f>'DataBase (IMO form)'!X30</f>
        <v>46820</v>
      </c>
    </row>
    <row r="37" spans="1:14" s="497" customFormat="1" ht="39.75" customHeight="1" thickBot="1">
      <c r="A37" s="546"/>
      <c r="B37" s="648">
        <f>'DataBase (IMO form)'!B31</f>
        <v>24</v>
      </c>
      <c r="C37" s="649" t="str">
        <f>'DataBase (IMO form)'!D31</f>
        <v>BRILLANTES</v>
      </c>
      <c r="D37" s="649" t="str">
        <f>'DataBase (IMO form)'!E31</f>
        <v>FER ANN</v>
      </c>
      <c r="E37" s="650" t="str">
        <f>'DataBase (IMO form)'!C31</f>
        <v>MTM</v>
      </c>
      <c r="F37" s="651" t="str">
        <f>'DataBase (IMO form)'!L31</f>
        <v>FILIPINO</v>
      </c>
      <c r="G37" s="652">
        <f>'DataBase (IMO form)'!T31</f>
        <v>45980</v>
      </c>
      <c r="H37" s="653" t="str">
        <f>'DataBase (IMO form)'!U31</f>
        <v>SABINE PASS, USA</v>
      </c>
      <c r="I37" s="654" t="e">
        <v>#REF!</v>
      </c>
      <c r="J37" s="655" t="str">
        <f>'DataBase (IMO form)'!H31</f>
        <v>M</v>
      </c>
      <c r="K37" s="655" t="s">
        <v>256</v>
      </c>
      <c r="L37" s="656" t="str">
        <f>'DataBase (IMO form)'!W31</f>
        <v>P7519115A</v>
      </c>
      <c r="M37" s="657" t="str">
        <f>'DataBase (IMO form)'!Y31</f>
        <v>DFA ILOILO</v>
      </c>
      <c r="N37" s="658">
        <f>'DataBase (IMO form)'!X31</f>
        <v>46914</v>
      </c>
    </row>
    <row r="38" spans="1:14" s="497" customFormat="1" ht="39.75" customHeight="1" thickBot="1">
      <c r="A38" s="546"/>
      <c r="B38" s="648">
        <f>'DataBase (IMO form)'!B32</f>
        <v>25</v>
      </c>
      <c r="C38" s="649" t="str">
        <f>'DataBase (IMO form)'!D32</f>
        <v>FLORES</v>
      </c>
      <c r="D38" s="649" t="str">
        <f>'DataBase (IMO form)'!E32</f>
        <v>NORIEL</v>
      </c>
      <c r="E38" s="650" t="str">
        <f>'DataBase (IMO form)'!C32</f>
        <v>WIPER</v>
      </c>
      <c r="F38" s="651" t="str">
        <f>'DataBase (IMO form)'!L32</f>
        <v>FILIPINO</v>
      </c>
      <c r="G38" s="652">
        <f>'DataBase (IMO form)'!T32</f>
        <v>46002</v>
      </c>
      <c r="H38" s="653" t="str">
        <f>'DataBase (IMO form)'!U32</f>
        <v>DAMIETTA,EGYPT</v>
      </c>
      <c r="I38" s="654" t="e">
        <v>#REF!</v>
      </c>
      <c r="J38" s="655" t="str">
        <f>'DataBase (IMO form)'!H32</f>
        <v>M</v>
      </c>
      <c r="K38" s="655" t="s">
        <v>256</v>
      </c>
      <c r="L38" s="656" t="str">
        <f>'DataBase (IMO form)'!W32</f>
        <v>P1950890C</v>
      </c>
      <c r="M38" s="657" t="str">
        <f>'DataBase (IMO form)'!Y32</f>
        <v>DFA NCR SOUTH</v>
      </c>
      <c r="N38" s="658">
        <f>'DataBase (IMO form)'!X32</f>
        <v>48494</v>
      </c>
    </row>
    <row r="39" spans="1:14" s="497" customFormat="1" ht="39.75" customHeight="1" thickBot="1">
      <c r="A39" s="546"/>
      <c r="B39" s="648">
        <f>'DataBase (IMO form)'!B33</f>
        <v>26</v>
      </c>
      <c r="C39" s="649" t="str">
        <f>'DataBase (IMO form)'!D33</f>
        <v>ESTRABELA</v>
      </c>
      <c r="D39" s="649" t="str">
        <f>'DataBase (IMO form)'!E33</f>
        <v>ARIES</v>
      </c>
      <c r="E39" s="650" t="str">
        <f>'DataBase (IMO form)'!C33</f>
        <v>CHIEF COOK</v>
      </c>
      <c r="F39" s="651" t="str">
        <f>'DataBase (IMO form)'!L33</f>
        <v>FILIPINO</v>
      </c>
      <c r="G39" s="652">
        <f>'DataBase (IMO form)'!T33</f>
        <v>45957</v>
      </c>
      <c r="H39" s="653" t="str">
        <f>'DataBase (IMO form)'!U33</f>
        <v>MUKRAN,GERMANY</v>
      </c>
      <c r="I39" s="654" t="e">
        <v>#REF!</v>
      </c>
      <c r="J39" s="655" t="str">
        <f>'DataBase (IMO form)'!H33</f>
        <v>M</v>
      </c>
      <c r="K39" s="655" t="s">
        <v>256</v>
      </c>
      <c r="L39" s="656" t="str">
        <f>'DataBase (IMO form)'!W33</f>
        <v>P6676452B</v>
      </c>
      <c r="M39" s="657" t="str">
        <f>'DataBase (IMO form)'!Y33</f>
        <v>DFA NCR EAST</v>
      </c>
      <c r="N39" s="658">
        <f>'DataBase (IMO form)'!X33</f>
        <v>47957</v>
      </c>
    </row>
    <row r="40" spans="1:14" s="497" customFormat="1" ht="39.75" customHeight="1" thickBot="1">
      <c r="A40" s="1018"/>
      <c r="B40" s="648">
        <f>'DataBase (IMO form)'!B34</f>
        <v>27</v>
      </c>
      <c r="C40" s="649" t="str">
        <f>'DataBase (IMO form)'!D34</f>
        <v>ALLADO</v>
      </c>
      <c r="D40" s="649" t="str">
        <f>'DataBase (IMO form)'!E34</f>
        <v>KEITH VINCENT</v>
      </c>
      <c r="E40" s="650" t="str">
        <f>'DataBase (IMO form)'!C34</f>
        <v>ASS COOK</v>
      </c>
      <c r="F40" s="651" t="str">
        <f>'DataBase (IMO form)'!L34</f>
        <v>FILIPINO</v>
      </c>
      <c r="G40" s="652">
        <f>'DataBase (IMO form)'!T34</f>
        <v>46081</v>
      </c>
      <c r="H40" s="653" t="str">
        <f>'DataBase (IMO form)'!U34</f>
        <v>BARCARENA, BRAZIL</v>
      </c>
      <c r="I40" s="654" t="e">
        <v>#REF!</v>
      </c>
      <c r="J40" s="655" t="str">
        <f>'DataBase (IMO form)'!H34</f>
        <v>M</v>
      </c>
      <c r="K40" s="655" t="s">
        <v>256</v>
      </c>
      <c r="L40" s="656" t="str">
        <f>'DataBase (IMO form)'!W34</f>
        <v>P6096925B</v>
      </c>
      <c r="M40" s="657" t="str">
        <f>'DataBase (IMO form)'!Y34</f>
        <v xml:space="preserve">DFA LUCENA </v>
      </c>
      <c r="N40" s="658">
        <f>'DataBase (IMO form)'!X34</f>
        <v>47862</v>
      </c>
    </row>
    <row r="41" spans="1:14" s="497" customFormat="1" ht="39.75" customHeight="1" thickBot="1">
      <c r="A41" s="1018"/>
      <c r="B41" s="648">
        <f>'DataBase (IMO form)'!B35</f>
        <v>28</v>
      </c>
      <c r="C41" s="649" t="str">
        <f>'DataBase (IMO form)'!D35</f>
        <v>ABES</v>
      </c>
      <c r="D41" s="649" t="str">
        <f>'DataBase (IMO form)'!E35</f>
        <v>JAMES DARWIN</v>
      </c>
      <c r="E41" s="650" t="str">
        <f>'DataBase (IMO form)'!C35</f>
        <v>MSM</v>
      </c>
      <c r="F41" s="651" t="str">
        <f>'DataBase (IMO form)'!L35</f>
        <v>FILIPINO</v>
      </c>
      <c r="G41" s="652">
        <f>'DataBase (IMO form)'!T35</f>
        <v>45830</v>
      </c>
      <c r="H41" s="653" t="str">
        <f>'DataBase (IMO form)'!U35</f>
        <v>WILHELMSHAVEN, GERMANY</v>
      </c>
      <c r="I41" s="654" t="e">
        <v>#REF!</v>
      </c>
      <c r="J41" s="655" t="str">
        <f>'DataBase (IMO form)'!H35</f>
        <v>M</v>
      </c>
      <c r="K41" s="655" t="s">
        <v>256</v>
      </c>
      <c r="L41" s="656" t="str">
        <f>'DataBase (IMO form)'!W35</f>
        <v>P3071209C</v>
      </c>
      <c r="M41" s="657" t="str">
        <f>'DataBase (IMO form)'!Y35</f>
        <v>DFA BUTUAN</v>
      </c>
      <c r="N41" s="658">
        <f>'DataBase (IMO form)'!X35</f>
        <v>48604</v>
      </c>
    </row>
    <row r="42" spans="1:14" s="497" customFormat="1" ht="39.75" hidden="1" customHeight="1" thickBot="1">
      <c r="A42" s="1018"/>
      <c r="B42" s="648">
        <f>'DataBase (IMO form)'!B36</f>
        <v>0</v>
      </c>
      <c r="C42" s="649">
        <f>'DataBase (IMO form)'!D36</f>
        <v>0</v>
      </c>
      <c r="D42" s="649">
        <f>'DataBase (IMO form)'!E36</f>
        <v>0</v>
      </c>
      <c r="E42" s="650">
        <f>'DataBase (IMO form)'!C36</f>
        <v>0</v>
      </c>
      <c r="F42" s="651">
        <f>'DataBase (IMO form)'!L36</f>
        <v>0</v>
      </c>
      <c r="G42" s="652">
        <f>'DataBase (IMO form)'!T36</f>
        <v>0</v>
      </c>
      <c r="H42" s="653">
        <f>'DataBase (IMO form)'!U36</f>
        <v>0</v>
      </c>
      <c r="I42" s="654" t="e">
        <v>#REF!</v>
      </c>
      <c r="J42" s="655">
        <f>'DataBase (IMO form)'!H36</f>
        <v>0</v>
      </c>
      <c r="K42" s="655" t="s">
        <v>256</v>
      </c>
      <c r="L42" s="656">
        <f>'DataBase (IMO form)'!W36</f>
        <v>0</v>
      </c>
      <c r="M42" s="657">
        <f>'DataBase (IMO form)'!Y36</f>
        <v>0</v>
      </c>
      <c r="N42" s="658">
        <f>'DataBase (IMO form)'!X36</f>
        <v>0</v>
      </c>
    </row>
    <row r="43" spans="1:14" s="497" customFormat="1" ht="15.75" hidden="1" thickBot="1">
      <c r="A43" s="546"/>
      <c r="B43" s="648">
        <f>'DataBase (IMO form)'!B36</f>
        <v>0</v>
      </c>
      <c r="C43" s="649">
        <f>'DataBase (IMO form)'!D36</f>
        <v>0</v>
      </c>
      <c r="D43" s="649">
        <f>'DataBase (IMO form)'!E36</f>
        <v>0</v>
      </c>
      <c r="E43" s="650">
        <f>'DataBase (IMO form)'!C36</f>
        <v>0</v>
      </c>
      <c r="F43" s="651">
        <f>'DataBase (IMO form)'!L36</f>
        <v>0</v>
      </c>
      <c r="G43" s="652">
        <f>'DataBase (IMO form)'!T36</f>
        <v>0</v>
      </c>
      <c r="H43" s="653">
        <f>'DataBase (IMO form)'!U36</f>
        <v>0</v>
      </c>
      <c r="I43" s="654" t="e">
        <v>#REF!</v>
      </c>
      <c r="J43" s="655">
        <f>'DataBase (IMO form)'!H36</f>
        <v>0</v>
      </c>
      <c r="K43" s="655" t="s">
        <v>256</v>
      </c>
      <c r="L43" s="656">
        <f>'DataBase (IMO form)'!W36</f>
        <v>0</v>
      </c>
      <c r="M43" s="657">
        <f>'DataBase (IMO form)'!Y36</f>
        <v>0</v>
      </c>
      <c r="N43" s="658">
        <f>'DataBase (IMO form)'!X36</f>
        <v>0</v>
      </c>
    </row>
    <row r="44" spans="1:14" s="500" customFormat="1" ht="11.25" customHeight="1">
      <c r="A44" s="499"/>
      <c r="B44" s="1132" t="s">
        <v>251</v>
      </c>
      <c r="C44" s="1132"/>
      <c r="D44" s="1132"/>
      <c r="E44" s="1132"/>
      <c r="F44" s="1132"/>
      <c r="G44" s="1132"/>
      <c r="H44" s="1132"/>
      <c r="I44" s="1132"/>
      <c r="J44" s="1132"/>
      <c r="K44" s="1132"/>
      <c r="L44" s="1132"/>
      <c r="M44" s="1132"/>
      <c r="N44" s="1132"/>
    </row>
    <row r="45" spans="1:14" s="500" customFormat="1" ht="16.5" customHeight="1">
      <c r="A45" s="499"/>
      <c r="B45" s="856"/>
      <c r="C45" s="856"/>
      <c r="D45" s="856"/>
      <c r="E45" s="856"/>
      <c r="F45" s="856"/>
      <c r="G45" s="856"/>
      <c r="H45" s="856"/>
      <c r="I45" s="856"/>
      <c r="J45" s="856"/>
      <c r="K45" s="856"/>
      <c r="L45" s="856"/>
      <c r="M45" s="856"/>
      <c r="N45" s="856"/>
    </row>
    <row r="46" spans="1:14" ht="15" customHeight="1">
      <c r="C46" s="503">
        <f>I7</f>
        <v>46106</v>
      </c>
      <c r="E46" s="504"/>
    </row>
    <row r="47" spans="1:14" ht="15">
      <c r="E47" s="504"/>
      <c r="G47" s="1129" t="str">
        <f>M.Menu!S16</f>
        <v>CAPT. WENDT ROBERT</v>
      </c>
      <c r="H47" s="1130"/>
      <c r="I47" s="1130"/>
      <c r="J47" s="1130"/>
      <c r="K47" s="1130"/>
      <c r="L47" s="1130"/>
      <c r="M47" s="538"/>
      <c r="N47" s="538"/>
    </row>
    <row r="48" spans="1:14">
      <c r="A48" s="506"/>
      <c r="B48" s="507"/>
      <c r="C48" s="507"/>
      <c r="D48" s="507"/>
      <c r="E48" s="508"/>
      <c r="G48" s="1131" t="s">
        <v>39</v>
      </c>
      <c r="H48" s="1131"/>
      <c r="I48" s="1131"/>
      <c r="J48" s="1131"/>
      <c r="K48" s="1131"/>
      <c r="L48" s="1131"/>
      <c r="M48" s="539"/>
      <c r="N48" s="539"/>
    </row>
    <row r="49" spans="1:11">
      <c r="E49" s="504"/>
    </row>
    <row r="50" spans="1:11">
      <c r="E50" s="504"/>
    </row>
    <row r="51" spans="1:11">
      <c r="E51" s="504"/>
    </row>
    <row r="52" spans="1:11">
      <c r="E52" s="504"/>
    </row>
    <row r="53" spans="1:11" s="502" customFormat="1">
      <c r="A53" s="501"/>
      <c r="E53" s="504"/>
      <c r="G53" s="505"/>
      <c r="H53" s="504"/>
      <c r="I53" s="504"/>
      <c r="J53" s="504"/>
      <c r="K53" s="504"/>
    </row>
    <row r="54" spans="1:11" s="502" customFormat="1">
      <c r="A54" s="501"/>
      <c r="E54" s="504"/>
      <c r="G54" s="505"/>
      <c r="H54" s="504"/>
      <c r="I54" s="504"/>
      <c r="J54" s="504"/>
      <c r="K54" s="504"/>
    </row>
    <row r="55" spans="1:11" s="502" customFormat="1">
      <c r="A55" s="501"/>
      <c r="E55" s="504"/>
      <c r="G55" s="505"/>
      <c r="H55" s="504"/>
      <c r="I55" s="504"/>
      <c r="J55" s="504"/>
      <c r="K55" s="504"/>
    </row>
    <row r="56" spans="1:11" s="502" customFormat="1">
      <c r="A56" s="501"/>
      <c r="E56" s="504"/>
      <c r="G56" s="505"/>
      <c r="H56" s="504"/>
      <c r="I56" s="504"/>
      <c r="J56" s="504"/>
      <c r="K56" s="504"/>
    </row>
    <row r="57" spans="1:11" s="502" customFormat="1">
      <c r="A57" s="501"/>
      <c r="E57" s="504"/>
      <c r="G57" s="505"/>
      <c r="H57" s="504"/>
      <c r="I57" s="504"/>
      <c r="J57" s="504"/>
      <c r="K57" s="504"/>
    </row>
    <row r="58" spans="1:11" s="502" customFormat="1">
      <c r="A58" s="501"/>
      <c r="E58" s="504"/>
      <c r="G58" s="505"/>
      <c r="H58" s="504"/>
      <c r="I58" s="504"/>
      <c r="J58" s="504"/>
      <c r="K58" s="504"/>
    </row>
    <row r="59" spans="1:11" s="502" customFormat="1">
      <c r="A59" s="501"/>
      <c r="E59" s="504"/>
      <c r="G59" s="505"/>
      <c r="H59" s="504"/>
      <c r="I59" s="504"/>
      <c r="J59" s="504"/>
      <c r="K59" s="504"/>
    </row>
    <row r="60" spans="1:11" s="502" customFormat="1">
      <c r="A60" s="501"/>
      <c r="E60" s="504"/>
      <c r="G60" s="505"/>
      <c r="H60" s="504"/>
      <c r="I60" s="504"/>
      <c r="J60" s="504"/>
      <c r="K60" s="504"/>
    </row>
    <row r="61" spans="1:11" s="502" customFormat="1">
      <c r="A61" s="501"/>
      <c r="E61" s="504"/>
      <c r="G61" s="505"/>
      <c r="H61" s="504"/>
      <c r="I61" s="504"/>
      <c r="J61" s="504"/>
      <c r="K61" s="504"/>
    </row>
    <row r="62" spans="1:11" s="502" customFormat="1">
      <c r="A62" s="501"/>
      <c r="E62" s="504"/>
      <c r="G62" s="505"/>
      <c r="H62" s="504"/>
      <c r="I62" s="504"/>
      <c r="J62" s="504"/>
      <c r="K62" s="504"/>
    </row>
    <row r="63" spans="1:11" s="502" customFormat="1">
      <c r="A63" s="501"/>
      <c r="E63" s="504"/>
      <c r="G63" s="505"/>
      <c r="H63" s="504"/>
      <c r="I63" s="504"/>
      <c r="J63" s="504"/>
      <c r="K63" s="504"/>
    </row>
    <row r="64" spans="1:11" s="502" customFormat="1">
      <c r="A64" s="501"/>
      <c r="E64" s="504"/>
      <c r="G64" s="505"/>
      <c r="H64" s="504"/>
      <c r="I64" s="504"/>
      <c r="J64" s="504"/>
      <c r="K64" s="504"/>
    </row>
    <row r="65" spans="1:11" s="502" customFormat="1">
      <c r="A65" s="501"/>
      <c r="E65" s="504"/>
      <c r="G65" s="505"/>
      <c r="H65" s="504"/>
      <c r="I65" s="504"/>
      <c r="J65" s="504"/>
      <c r="K65" s="504"/>
    </row>
  </sheetData>
  <sheetProtection formatRows="0"/>
  <mergeCells count="28">
    <mergeCell ref="B44:N44"/>
    <mergeCell ref="G47:L47"/>
    <mergeCell ref="G48:L48"/>
    <mergeCell ref="J12:J13"/>
    <mergeCell ref="K12:K13"/>
    <mergeCell ref="L12:L13"/>
    <mergeCell ref="M12:M13"/>
    <mergeCell ref="N12:N13"/>
    <mergeCell ref="A27:A33"/>
    <mergeCell ref="B11:E11"/>
    <mergeCell ref="F11:H11"/>
    <mergeCell ref="B12:B13"/>
    <mergeCell ref="C12:C13"/>
    <mergeCell ref="D12:D13"/>
    <mergeCell ref="E12:E13"/>
    <mergeCell ref="F12:F13"/>
    <mergeCell ref="G12:G13"/>
    <mergeCell ref="H12:H13"/>
    <mergeCell ref="A6:A26"/>
    <mergeCell ref="D6:E6"/>
    <mergeCell ref="I6:N6"/>
    <mergeCell ref="F7:H8"/>
    <mergeCell ref="I7:N11"/>
    <mergeCell ref="A2:N2"/>
    <mergeCell ref="A3:N3"/>
    <mergeCell ref="L4:N4"/>
    <mergeCell ref="B5:D5"/>
    <mergeCell ref="L5:N5"/>
  </mergeCells>
  <conditionalFormatting sqref="B14:N43">
    <cfRule type="cellIs" dxfId="163" priority="23248" stopIfTrue="1" operator="lessThanOrEqual">
      <formula>$V$20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9" scale="5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D8C0-8A83-4AF2-9493-FA23B9D7A0AB}">
  <sheetPr>
    <tabColor rgb="FF008000"/>
    <pageSetUpPr fitToPage="1"/>
  </sheetPr>
  <dimension ref="A1:U64"/>
  <sheetViews>
    <sheetView showGridLines="0" showZeros="0" view="pageBreakPreview" topLeftCell="A10" zoomScale="55" zoomScaleNormal="70" zoomScaleSheetLayoutView="55" workbookViewId="0">
      <selection activeCell="Y32" sqref="Y32"/>
    </sheetView>
  </sheetViews>
  <sheetFormatPr defaultColWidth="9.140625" defaultRowHeight="12.75"/>
  <cols>
    <col min="1" max="1" width="1.5703125" style="501" customWidth="1"/>
    <col min="2" max="2" width="6" style="502" customWidth="1"/>
    <col min="3" max="3" width="29.140625" style="502" customWidth="1"/>
    <col min="4" max="4" width="31.5703125" style="502" customWidth="1"/>
    <col min="5" max="5" width="10" style="502" customWidth="1"/>
    <col min="6" max="6" width="18.140625" style="502" customWidth="1"/>
    <col min="7" max="7" width="13.28515625" style="505" bestFit="1" customWidth="1"/>
    <col min="8" max="8" width="16.28515625" style="504" customWidth="1"/>
    <col min="9" max="9" width="4.7109375" style="504" hidden="1" customWidth="1"/>
    <col min="10" max="10" width="8.85546875" style="504" customWidth="1"/>
    <col min="11" max="11" width="12.7109375" style="504" customWidth="1"/>
    <col min="12" max="13" width="22.140625" style="502" customWidth="1"/>
    <col min="14" max="16384" width="9.140625" style="501"/>
  </cols>
  <sheetData>
    <row r="1" spans="1:13" s="460" customFormat="1" ht="27" customHeight="1" thickBot="1">
      <c r="A1" s="865" t="s">
        <v>143</v>
      </c>
      <c r="B1" s="461"/>
      <c r="C1" s="461"/>
      <c r="D1" s="461"/>
      <c r="E1" s="461"/>
      <c r="F1" s="461"/>
      <c r="G1" s="462"/>
      <c r="H1" s="463"/>
      <c r="I1" s="463"/>
      <c r="J1" s="463"/>
      <c r="K1" s="463"/>
      <c r="L1" s="461"/>
      <c r="M1" s="461"/>
    </row>
    <row r="2" spans="1:13" s="460" customFormat="1" ht="30" customHeight="1">
      <c r="A2" s="864"/>
      <c r="B2" s="1089" t="s">
        <v>88</v>
      </c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1"/>
    </row>
    <row r="3" spans="1:13" s="460" customFormat="1" ht="14.25" customHeight="1" thickBot="1">
      <c r="A3" s="858"/>
      <c r="B3" s="1092" t="s">
        <v>257</v>
      </c>
      <c r="C3" s="1093"/>
      <c r="D3" s="1093"/>
      <c r="E3" s="1093"/>
      <c r="F3" s="1093"/>
      <c r="G3" s="1093"/>
      <c r="H3" s="1093"/>
      <c r="I3" s="1093"/>
      <c r="J3" s="1093"/>
      <c r="K3" s="1093"/>
      <c r="L3" s="1093"/>
      <c r="M3" s="1094"/>
    </row>
    <row r="4" spans="1:13" s="468" customFormat="1" ht="13.5" customHeight="1">
      <c r="A4" s="464"/>
      <c r="B4" s="859"/>
      <c r="C4" s="465"/>
      <c r="D4" s="465"/>
      <c r="E4" s="465"/>
      <c r="F4" s="465"/>
      <c r="G4" s="466"/>
      <c r="H4" s="467"/>
      <c r="I4" s="467"/>
      <c r="J4" s="467"/>
      <c r="K4" s="467"/>
      <c r="L4" s="1112" t="s">
        <v>181</v>
      </c>
      <c r="M4" s="1114"/>
    </row>
    <row r="5" spans="1:13" s="468" customFormat="1" ht="18.75" customHeight="1" thickBot="1">
      <c r="A5" s="464"/>
      <c r="B5" s="1105"/>
      <c r="C5" s="1106"/>
      <c r="D5" s="1106"/>
      <c r="E5" s="860"/>
      <c r="F5" s="861" t="s">
        <v>87</v>
      </c>
      <c r="G5" s="862"/>
      <c r="H5" s="861"/>
      <c r="I5" s="863"/>
      <c r="J5" s="863"/>
      <c r="K5" s="863"/>
      <c r="L5" s="1115" t="s">
        <v>73</v>
      </c>
      <c r="M5" s="1117"/>
    </row>
    <row r="6" spans="1:13" s="473" customFormat="1" ht="18.95" customHeight="1" thickBot="1">
      <c r="A6" s="1111"/>
      <c r="B6" s="469" t="s">
        <v>238</v>
      </c>
      <c r="C6" s="470"/>
      <c r="D6" s="1107" t="str">
        <f>M.Menu!E3</f>
        <v>Energy Endurance</v>
      </c>
      <c r="E6" s="1107"/>
      <c r="F6" s="469" t="s">
        <v>82</v>
      </c>
      <c r="G6" s="471"/>
      <c r="H6" s="472"/>
      <c r="I6" s="1118" t="s">
        <v>210</v>
      </c>
      <c r="J6" s="1119"/>
      <c r="K6" s="1119"/>
      <c r="L6" s="1119"/>
      <c r="M6" s="1120"/>
    </row>
    <row r="7" spans="1:13" s="473" customFormat="1" ht="18.95" customHeight="1">
      <c r="A7" s="1111"/>
      <c r="B7" s="474" t="s">
        <v>250</v>
      </c>
      <c r="C7" s="475"/>
      <c r="D7" s="476" t="s">
        <v>231</v>
      </c>
      <c r="E7" s="477"/>
      <c r="F7" s="1108" t="str">
        <f>M.Menu!L11&amp;", "&amp;M.Menu!L12</f>
        <v>Sabine Pass, U.S.A.</v>
      </c>
      <c r="G7" s="1109"/>
      <c r="H7" s="1110"/>
      <c r="I7" s="1096">
        <f>M.Menu!L13</f>
        <v>46106</v>
      </c>
      <c r="J7" s="1097"/>
      <c r="K7" s="1097"/>
      <c r="L7" s="1097"/>
      <c r="M7" s="1098"/>
    </row>
    <row r="8" spans="1:13" s="473" customFormat="1" ht="18.95" customHeight="1">
      <c r="A8" s="1111"/>
      <c r="B8" s="474" t="s">
        <v>81</v>
      </c>
      <c r="C8" s="475"/>
      <c r="D8" s="478" t="str">
        <f>M.Menu!E4</f>
        <v>V7A7282</v>
      </c>
      <c r="E8" s="477"/>
      <c r="F8" s="1108" t="str">
        <f>M.Menu!E8&amp;", "&amp;M.Menu!E9</f>
        <v xml:space="preserve">NFE Transport Partners LLC, </v>
      </c>
      <c r="G8" s="1109"/>
      <c r="H8" s="1110"/>
      <c r="I8" s="1099"/>
      <c r="J8" s="1100"/>
      <c r="K8" s="1100"/>
      <c r="L8" s="1100"/>
      <c r="M8" s="1101"/>
    </row>
    <row r="9" spans="1:13" s="473" customFormat="1" ht="18.95" customHeight="1" thickBot="1">
      <c r="A9" s="1111"/>
      <c r="B9" s="479" t="s">
        <v>285</v>
      </c>
      <c r="C9" s="480"/>
      <c r="D9" s="481" t="str">
        <f>M.Menu!S13</f>
        <v>VOY16</v>
      </c>
      <c r="E9" s="482"/>
      <c r="F9" s="483"/>
      <c r="G9" s="484"/>
      <c r="H9" s="485"/>
      <c r="I9" s="1099"/>
      <c r="J9" s="1100"/>
      <c r="K9" s="1100"/>
      <c r="L9" s="1100"/>
      <c r="M9" s="1101"/>
    </row>
    <row r="10" spans="1:13" s="468" customFormat="1" ht="24" customHeight="1">
      <c r="A10" s="1111"/>
      <c r="B10" s="486" t="s">
        <v>84</v>
      </c>
      <c r="C10" s="487"/>
      <c r="D10" s="488"/>
      <c r="E10" s="489"/>
      <c r="F10" s="486" t="s">
        <v>85</v>
      </c>
      <c r="G10" s="490"/>
      <c r="H10" s="986"/>
      <c r="I10" s="1099"/>
      <c r="J10" s="1100"/>
      <c r="K10" s="1100"/>
      <c r="L10" s="1100"/>
      <c r="M10" s="1101"/>
    </row>
    <row r="11" spans="1:13" s="491" customFormat="1" ht="24" customHeight="1" thickBot="1">
      <c r="A11" s="1111"/>
      <c r="B11" s="1134" t="str">
        <f>M.Menu!L8</f>
        <v>Marshall Islands</v>
      </c>
      <c r="C11" s="1135"/>
      <c r="D11" s="1135"/>
      <c r="E11" s="1135"/>
      <c r="F11" s="1136" t="str">
        <f>M.Menu!E11&amp;", "&amp;M.Menu!E12</f>
        <v>BARCARENA, BRAZIL</v>
      </c>
      <c r="G11" s="1137"/>
      <c r="H11" s="1138"/>
      <c r="I11" s="1102"/>
      <c r="J11" s="1103"/>
      <c r="K11" s="1103"/>
      <c r="L11" s="1103"/>
      <c r="M11" s="1104"/>
    </row>
    <row r="12" spans="1:13" s="493" customFormat="1" ht="17.100000000000001" customHeight="1">
      <c r="A12" s="1111"/>
      <c r="B12" s="1123" t="s">
        <v>241</v>
      </c>
      <c r="C12" s="1123" t="s">
        <v>242</v>
      </c>
      <c r="D12" s="1123" t="s">
        <v>243</v>
      </c>
      <c r="E12" s="1143" t="s">
        <v>361</v>
      </c>
      <c r="F12" s="1141" t="s">
        <v>86</v>
      </c>
      <c r="G12" s="1121" t="s">
        <v>240</v>
      </c>
      <c r="H12" s="1121" t="s">
        <v>239</v>
      </c>
      <c r="I12" s="492"/>
      <c r="J12" s="1139" t="s">
        <v>244</v>
      </c>
      <c r="K12" s="1126" t="s">
        <v>252</v>
      </c>
      <c r="L12" s="1126" t="s">
        <v>253</v>
      </c>
      <c r="M12" s="1126" t="s">
        <v>712</v>
      </c>
    </row>
    <row r="13" spans="1:13" s="493" customFormat="1" ht="17.100000000000001" customHeight="1" thickBot="1">
      <c r="A13" s="1111"/>
      <c r="B13" s="1125"/>
      <c r="C13" s="1124"/>
      <c r="D13" s="1124"/>
      <c r="E13" s="1144"/>
      <c r="F13" s="1142"/>
      <c r="G13" s="1122"/>
      <c r="H13" s="1122"/>
      <c r="I13" s="494"/>
      <c r="J13" s="1140"/>
      <c r="K13" s="1128"/>
      <c r="L13" s="1128"/>
      <c r="M13" s="1128"/>
    </row>
    <row r="14" spans="1:13" s="495" customFormat="1" ht="39" customHeight="1" thickBot="1">
      <c r="A14" s="1111"/>
      <c r="B14" s="640">
        <f>'DataBase (IMO form)'!B8</f>
        <v>1</v>
      </c>
      <c r="C14" s="641" t="str">
        <f>'DataBase (IMO form)'!D8</f>
        <v xml:space="preserve">WENDT </v>
      </c>
      <c r="D14" s="641" t="str">
        <f>'DataBase (IMO form)'!E8</f>
        <v>ROBERT KRZYSZTOF</v>
      </c>
      <c r="E14" s="642" t="str">
        <f>'DataBase (IMO form)'!C8</f>
        <v>MASTER</v>
      </c>
      <c r="F14" s="642" t="str">
        <f>'DataBase (IMO form)'!L8</f>
        <v>POLISH</v>
      </c>
      <c r="G14" s="876">
        <f>'DataBase (IMO form)'!I8</f>
        <v>31616</v>
      </c>
      <c r="H14" s="644" t="str">
        <f>'DataBase (IMO form)'!K8</f>
        <v>GDANSK</v>
      </c>
      <c r="I14" s="644" t="e">
        <v>#REF!</v>
      </c>
      <c r="J14" s="644" t="str">
        <f>'DataBase (IMO form)'!H8</f>
        <v>M</v>
      </c>
      <c r="K14" s="644" t="s">
        <v>739</v>
      </c>
      <c r="L14" s="989" t="str">
        <f>'DataBase (IMO form)'!AD8</f>
        <v>AA0009998</v>
      </c>
      <c r="M14" s="990">
        <f>'DataBase (IMO form)'!AE8</f>
        <v>48277</v>
      </c>
    </row>
    <row r="15" spans="1:13" s="495" customFormat="1" ht="39" customHeight="1" thickBot="1">
      <c r="A15" s="1111"/>
      <c r="B15" s="640">
        <f>'DataBase (IMO form)'!B9</f>
        <v>2</v>
      </c>
      <c r="C15" s="641" t="str">
        <f>'DataBase (IMO form)'!D9</f>
        <v>THANASIS</v>
      </c>
      <c r="D15" s="641" t="str">
        <f>'DataBase (IMO form)'!E9</f>
        <v>EVANGELOS</v>
      </c>
      <c r="E15" s="642" t="str">
        <f>'DataBase (IMO form)'!C9</f>
        <v>CHIEF OFF</v>
      </c>
      <c r="F15" s="642" t="str">
        <f>'DataBase (IMO form)'!L9</f>
        <v>HELLENIC</v>
      </c>
      <c r="G15" s="876">
        <f>'DataBase (IMO form)'!I9</f>
        <v>34373</v>
      </c>
      <c r="H15" s="644" t="str">
        <f>'DataBase (IMO form)'!K9</f>
        <v>KERKYRA</v>
      </c>
      <c r="I15" s="644" t="e">
        <v>#REF!</v>
      </c>
      <c r="J15" s="644" t="str">
        <f>'DataBase (IMO form)'!H9</f>
        <v>M</v>
      </c>
      <c r="K15" s="644" t="s">
        <v>739</v>
      </c>
      <c r="L15" s="989" t="str">
        <f>'DataBase (IMO form)'!AD9</f>
        <v>E00363</v>
      </c>
      <c r="M15" s="990" t="str">
        <f>'DataBase (IMO form)'!AE9</f>
        <v>Lifetime</v>
      </c>
    </row>
    <row r="16" spans="1:13" s="495" customFormat="1" ht="39" customHeight="1" thickBot="1">
      <c r="A16" s="1111"/>
      <c r="B16" s="640">
        <f>'DataBase (IMO form)'!B10</f>
        <v>3</v>
      </c>
      <c r="C16" s="641" t="str">
        <f>'DataBase (IMO form)'!D10</f>
        <v>TEJU</v>
      </c>
      <c r="D16" s="641" t="str">
        <f>'DataBase (IMO form)'!E10</f>
        <v>TOMA</v>
      </c>
      <c r="E16" s="642" t="str">
        <f>'DataBase (IMO form)'!C10</f>
        <v>TR CHIEF OFF</v>
      </c>
      <c r="F16" s="642" t="str">
        <f>'DataBase (IMO form)'!L10</f>
        <v>ROMANIAN</v>
      </c>
      <c r="G16" s="876">
        <f>'DataBase (IMO form)'!I10</f>
        <v>32970</v>
      </c>
      <c r="H16" s="644" t="str">
        <f>'DataBase (IMO form)'!K10</f>
        <v>COSTANTA</v>
      </c>
      <c r="I16" s="644" t="e">
        <v>#REF!</v>
      </c>
      <c r="J16" s="644" t="str">
        <f>'DataBase (IMO form)'!H10</f>
        <v>M</v>
      </c>
      <c r="K16" s="644" t="s">
        <v>739</v>
      </c>
      <c r="L16" s="989">
        <f>'DataBase (IMO form)'!AD10</f>
        <v>86891</v>
      </c>
      <c r="M16" s="990" t="str">
        <f>'DataBase (IMO form)'!AE10</f>
        <v>Lifetime</v>
      </c>
    </row>
    <row r="17" spans="1:21" s="495" customFormat="1" ht="39" customHeight="1" thickBot="1">
      <c r="A17" s="1111"/>
      <c r="B17" s="640">
        <f>'DataBase (IMO form)'!B11</f>
        <v>4</v>
      </c>
      <c r="C17" s="641" t="str">
        <f>'DataBase (IMO form)'!D11</f>
        <v>BUTS</v>
      </c>
      <c r="D17" s="641" t="str">
        <f>'DataBase (IMO form)'!E11</f>
        <v>KOSTIANTYN</v>
      </c>
      <c r="E17" s="642" t="str">
        <f>'DataBase (IMO form)'!C11</f>
        <v>2ND OFF</v>
      </c>
      <c r="F17" s="642" t="str">
        <f>'DataBase (IMO form)'!L11</f>
        <v>UKRAINIAN</v>
      </c>
      <c r="G17" s="876">
        <f>'DataBase (IMO form)'!I11</f>
        <v>31971</v>
      </c>
      <c r="H17" s="644" t="str">
        <f>'DataBase (IMO form)'!K11</f>
        <v>UKRAINE</v>
      </c>
      <c r="I17" s="644" t="e">
        <v>#REF!</v>
      </c>
      <c r="J17" s="644" t="str">
        <f>'DataBase (IMO form)'!H11</f>
        <v>M</v>
      </c>
      <c r="K17" s="644" t="s">
        <v>739</v>
      </c>
      <c r="L17" s="989">
        <f>'DataBase (IMO form)'!AD11</f>
        <v>8600199276</v>
      </c>
      <c r="M17" s="990">
        <f>'DataBase (IMO form)'!AE11</f>
        <v>49120</v>
      </c>
    </row>
    <row r="18" spans="1:21" s="495" customFormat="1" ht="39" customHeight="1" thickBot="1">
      <c r="A18" s="1111"/>
      <c r="B18" s="640">
        <f>'DataBase (IMO form)'!B12</f>
        <v>5</v>
      </c>
      <c r="C18" s="641" t="str">
        <f>'DataBase (IMO form)'!D12</f>
        <v xml:space="preserve">STAMATIOU </v>
      </c>
      <c r="D18" s="641" t="str">
        <f>'DataBase (IMO form)'!E12</f>
        <v>VASILEIOS</v>
      </c>
      <c r="E18" s="642" t="str">
        <f>'DataBase (IMO form)'!C12</f>
        <v>3RD OFF</v>
      </c>
      <c r="F18" s="642" t="str">
        <f>'DataBase (IMO form)'!L12</f>
        <v>HELLENIC</v>
      </c>
      <c r="G18" s="876">
        <f>'DataBase (IMO form)'!I12</f>
        <v>37225</v>
      </c>
      <c r="H18" s="644" t="str">
        <f>'DataBase (IMO form)'!K12</f>
        <v>MAROUSI</v>
      </c>
      <c r="I18" s="644" t="e">
        <v>#REF!</v>
      </c>
      <c r="J18" s="644" t="str">
        <f>'DataBase (IMO form)'!H12</f>
        <v>M</v>
      </c>
      <c r="K18" s="644" t="s">
        <v>739</v>
      </c>
      <c r="L18" s="989" t="str">
        <f>'DataBase (IMO form)'!AD12</f>
        <v>AA 61439</v>
      </c>
      <c r="M18" s="990" t="str">
        <f>'DataBase (IMO form)'!AE12</f>
        <v>Lifetime</v>
      </c>
    </row>
    <row r="19" spans="1:21" s="495" customFormat="1" ht="39" customHeight="1" thickBot="1">
      <c r="A19" s="1111"/>
      <c r="B19" s="640">
        <f>'DataBase (IMO form)'!B13</f>
        <v>6</v>
      </c>
      <c r="C19" s="641" t="str">
        <f>'DataBase (IMO form)'!D13</f>
        <v>KOUIMOV</v>
      </c>
      <c r="D19" s="641" t="str">
        <f>'DataBase (IMO form)'!E13</f>
        <v>ENTOUARNT OR EDUARD</v>
      </c>
      <c r="E19" s="642" t="str">
        <f>'DataBase (IMO form)'!C13</f>
        <v xml:space="preserve">3RD OFF </v>
      </c>
      <c r="F19" s="642" t="str">
        <f>'DataBase (IMO form)'!L13</f>
        <v>HELLENIC</v>
      </c>
      <c r="G19" s="876">
        <f>'DataBase (IMO form)'!I13</f>
        <v>36547</v>
      </c>
      <c r="H19" s="644" t="str">
        <f>'DataBase (IMO form)'!K13</f>
        <v>NAKHODKA</v>
      </c>
      <c r="I19" s="644" t="e">
        <v>#REF!</v>
      </c>
      <c r="J19" s="644" t="str">
        <f>'DataBase (IMO form)'!H13</f>
        <v>M</v>
      </c>
      <c r="K19" s="644" t="s">
        <v>739</v>
      </c>
      <c r="L19" s="989" t="str">
        <f>'DataBase (IMO form)'!AD13</f>
        <v xml:space="preserve">AA 60496 </v>
      </c>
      <c r="M19" s="990" t="str">
        <f>'DataBase (IMO form)'!AE13</f>
        <v>Lifetime</v>
      </c>
      <c r="U19" s="496"/>
    </row>
    <row r="20" spans="1:21" s="495" customFormat="1" ht="39" customHeight="1" thickBot="1">
      <c r="A20" s="1111"/>
      <c r="B20" s="640">
        <f>'DataBase (IMO form)'!B14</f>
        <v>7</v>
      </c>
      <c r="C20" s="641" t="str">
        <f>'DataBase (IMO form)'!D14</f>
        <v>CHATZIDIMITRIOU</v>
      </c>
      <c r="D20" s="641" t="str">
        <f>'DataBase (IMO form)'!E14</f>
        <v>MARIA</v>
      </c>
      <c r="E20" s="642" t="str">
        <f>'DataBase (IMO form)'!C14</f>
        <v>DECK CADET</v>
      </c>
      <c r="F20" s="642" t="str">
        <f>'DataBase (IMO form)'!L14</f>
        <v>HELLENIC</v>
      </c>
      <c r="G20" s="876">
        <f>'DataBase (IMO form)'!I14</f>
        <v>37644</v>
      </c>
      <c r="H20" s="644" t="str">
        <f>'DataBase (IMO form)'!K14</f>
        <v>THESSALONIKI</v>
      </c>
      <c r="I20" s="644" t="e">
        <v>#REF!</v>
      </c>
      <c r="J20" s="644" t="str">
        <f>'DataBase (IMO form)'!H14</f>
        <v>F</v>
      </c>
      <c r="K20" s="644" t="s">
        <v>739</v>
      </c>
      <c r="L20" s="989" t="str">
        <f>'DataBase (IMO form)'!AD14</f>
        <v xml:space="preserve">ST 39373 </v>
      </c>
      <c r="M20" s="990" t="str">
        <f>'DataBase (IMO form)'!AE14</f>
        <v>Lifetime</v>
      </c>
    </row>
    <row r="21" spans="1:21" s="495" customFormat="1" ht="39" customHeight="1" thickBot="1">
      <c r="A21" s="1111"/>
      <c r="B21" s="640">
        <f>'DataBase (IMO form)'!B15</f>
        <v>8</v>
      </c>
      <c r="C21" s="641" t="str">
        <f>'DataBase (IMO form)'!D15</f>
        <v xml:space="preserve">PETROPOULOS </v>
      </c>
      <c r="D21" s="641" t="str">
        <f>'DataBase (IMO form)'!E15</f>
        <v>CHRISTOS</v>
      </c>
      <c r="E21" s="642" t="str">
        <f>'DataBase (IMO form)'!C15</f>
        <v>CHIEF ENG</v>
      </c>
      <c r="F21" s="642" t="str">
        <f>'DataBase (IMO form)'!L15</f>
        <v>HELLENIC</v>
      </c>
      <c r="G21" s="876">
        <f>'DataBase (IMO form)'!I15</f>
        <v>24483</v>
      </c>
      <c r="H21" s="644" t="str">
        <f>'DataBase (IMO form)'!K15</f>
        <v>KOZANI</v>
      </c>
      <c r="I21" s="644" t="e">
        <v>#REF!</v>
      </c>
      <c r="J21" s="644" t="str">
        <f>'DataBase (IMO form)'!H15</f>
        <v>M</v>
      </c>
      <c r="K21" s="644" t="s">
        <v>739</v>
      </c>
      <c r="L21" s="989" t="str">
        <f>'DataBase (IMO form)'!AD15</f>
        <v>CY278178</v>
      </c>
      <c r="M21" s="990">
        <f>'DataBase (IMO form)'!AE15</f>
        <v>46683</v>
      </c>
    </row>
    <row r="22" spans="1:21" s="495" customFormat="1" ht="39" customHeight="1" thickBot="1">
      <c r="A22" s="1111"/>
      <c r="B22" s="640">
        <f>'DataBase (IMO form)'!B16</f>
        <v>9</v>
      </c>
      <c r="C22" s="641" t="str">
        <f>'DataBase (IMO form)'!D16</f>
        <v>SYTNYK</v>
      </c>
      <c r="D22" s="641" t="str">
        <f>'DataBase (IMO form)'!E16</f>
        <v xml:space="preserve">YEVGENIY </v>
      </c>
      <c r="E22" s="642" t="str">
        <f>'DataBase (IMO form)'!C16</f>
        <v>2ND ENG</v>
      </c>
      <c r="F22" s="642" t="str">
        <f>'DataBase (IMO form)'!L16</f>
        <v xml:space="preserve">UKRAINIAN </v>
      </c>
      <c r="G22" s="876">
        <f>'DataBase (IMO form)'!I16</f>
        <v>32852</v>
      </c>
      <c r="H22" s="644" t="str">
        <f>'DataBase (IMO form)'!K16</f>
        <v>ODESSA</v>
      </c>
      <c r="I22" s="644" t="e">
        <v>#REF!</v>
      </c>
      <c r="J22" s="644" t="str">
        <f>'DataBase (IMO form)'!H16</f>
        <v>M</v>
      </c>
      <c r="K22" s="644" t="s">
        <v>739</v>
      </c>
      <c r="L22" s="989" t="str">
        <f>'DataBase (IMO form)'!AD16</f>
        <v>AB 676379</v>
      </c>
      <c r="M22" s="990">
        <f>'DataBase (IMO form)'!AE16</f>
        <v>46128</v>
      </c>
    </row>
    <row r="23" spans="1:21" s="495" customFormat="1" ht="39" customHeight="1" thickBot="1">
      <c r="A23" s="1111"/>
      <c r="B23" s="640">
        <f>'DataBase (IMO form)'!B17</f>
        <v>10</v>
      </c>
      <c r="C23" s="641" t="str">
        <f>'DataBase (IMO form)'!D17</f>
        <v>KACHUR</v>
      </c>
      <c r="D23" s="641" t="str">
        <f>'DataBase (IMO form)'!E17</f>
        <v>MYKOLA</v>
      </c>
      <c r="E23" s="642" t="str">
        <f>'DataBase (IMO form)'!C17</f>
        <v>3RD ENG</v>
      </c>
      <c r="F23" s="642" t="str">
        <f>'DataBase (IMO form)'!L17</f>
        <v>UKRAINIAN</v>
      </c>
      <c r="G23" s="876">
        <f>'DataBase (IMO form)'!I17</f>
        <v>35418</v>
      </c>
      <c r="H23" s="644" t="str">
        <f>'DataBase (IMO form)'!K17</f>
        <v>UKRAINE</v>
      </c>
      <c r="I23" s="644" t="e">
        <v>#REF!</v>
      </c>
      <c r="J23" s="644" t="str">
        <f>'DataBase (IMO form)'!H17</f>
        <v>M</v>
      </c>
      <c r="K23" s="644" t="s">
        <v>739</v>
      </c>
      <c r="L23" s="989" t="str">
        <f>'DataBase (IMO form)'!AD17</f>
        <v>AA 1002553</v>
      </c>
      <c r="M23" s="990">
        <f>'DataBase (IMO form)'!AE17</f>
        <v>47308</v>
      </c>
    </row>
    <row r="24" spans="1:21" s="495" customFormat="1" ht="39" customHeight="1" thickBot="1">
      <c r="A24" s="1111"/>
      <c r="B24" s="640">
        <f>'DataBase (IMO form)'!B18</f>
        <v>11</v>
      </c>
      <c r="C24" s="641" t="str">
        <f>'DataBase (IMO form)'!D18</f>
        <v>COLEASA</v>
      </c>
      <c r="D24" s="641" t="str">
        <f>'DataBase (IMO form)'!E18</f>
        <v>STEFAN  CIPRIAN</v>
      </c>
      <c r="E24" s="642" t="str">
        <f>'DataBase (IMO form)'!C18</f>
        <v>3RD ENG</v>
      </c>
      <c r="F24" s="642" t="str">
        <f>'DataBase (IMO form)'!L18</f>
        <v>ROMANIAN</v>
      </c>
      <c r="G24" s="876">
        <f>'DataBase (IMO form)'!I18</f>
        <v>33966</v>
      </c>
      <c r="H24" s="644" t="str">
        <f>'DataBase (IMO form)'!K18</f>
        <v>CONSTANTA</v>
      </c>
      <c r="I24" s="644" t="e">
        <v>#REF!</v>
      </c>
      <c r="J24" s="644" t="str">
        <f>'DataBase (IMO form)'!H18</f>
        <v>M</v>
      </c>
      <c r="K24" s="644" t="s">
        <v>739</v>
      </c>
      <c r="L24" s="989" t="str">
        <f>'DataBase (IMO form)'!AD18</f>
        <v>31553CT</v>
      </c>
      <c r="M24" s="990">
        <f>'DataBase (IMO form)'!AE18</f>
        <v>46583</v>
      </c>
      <c r="P24" s="495" t="s">
        <v>143</v>
      </c>
    </row>
    <row r="25" spans="1:21" s="497" customFormat="1" ht="39" customHeight="1" thickBot="1">
      <c r="A25" s="1111"/>
      <c r="B25" s="640">
        <f>'DataBase (IMO form)'!B19</f>
        <v>12</v>
      </c>
      <c r="C25" s="641" t="str">
        <f>'DataBase (IMO form)'!D19</f>
        <v xml:space="preserve">LOFTSALIS </v>
      </c>
      <c r="D25" s="641" t="str">
        <f>'DataBase (IMO form)'!E19</f>
        <v>APOSTOLOS</v>
      </c>
      <c r="E25" s="642" t="str">
        <f>'DataBase (IMO form)'!C19</f>
        <v>4TH ENG</v>
      </c>
      <c r="F25" s="642" t="str">
        <f>'DataBase (IMO form)'!L19</f>
        <v>HELLENIC</v>
      </c>
      <c r="G25" s="876">
        <f>'DataBase (IMO form)'!I19</f>
        <v>37555</v>
      </c>
      <c r="H25" s="644" t="str">
        <f>'DataBase (IMO form)'!K19</f>
        <v>KOZANI</v>
      </c>
      <c r="I25" s="644" t="e">
        <v>#REF!</v>
      </c>
      <c r="J25" s="644" t="str">
        <f>'DataBase (IMO form)'!H19</f>
        <v>M</v>
      </c>
      <c r="K25" s="644" t="s">
        <v>739</v>
      </c>
      <c r="L25" s="989" t="str">
        <f>'DataBase (IMO form)'!AD19</f>
        <v>ST39185</v>
      </c>
      <c r="M25" s="990" t="str">
        <f>'DataBase (IMO form)'!AE19</f>
        <v>Lifetime</v>
      </c>
    </row>
    <row r="26" spans="1:21" s="497" customFormat="1" ht="39" customHeight="1" thickBot="1">
      <c r="A26" s="1111"/>
      <c r="B26" s="640">
        <f>'DataBase (IMO form)'!B20</f>
        <v>13</v>
      </c>
      <c r="C26" s="641" t="str">
        <f>'DataBase (IMO form)'!D20</f>
        <v>YEMELIANOV</v>
      </c>
      <c r="D26" s="641" t="str">
        <f>'DataBase (IMO form)'!E20</f>
        <v>RICHARD</v>
      </c>
      <c r="E26" s="642" t="str">
        <f>'DataBase (IMO form)'!C20</f>
        <v xml:space="preserve">GAS ENG </v>
      </c>
      <c r="F26" s="642" t="str">
        <f>'DataBase (IMO form)'!L20</f>
        <v>UKRAINIAN</v>
      </c>
      <c r="G26" s="876">
        <f>'DataBase (IMO form)'!I20</f>
        <v>32955</v>
      </c>
      <c r="H26" s="644" t="str">
        <f>'DataBase (IMO form)'!K20</f>
        <v>UKRAINE</v>
      </c>
      <c r="I26" s="644" t="e">
        <v>#REF!</v>
      </c>
      <c r="J26" s="644" t="str">
        <f>'DataBase (IMO form)'!H20</f>
        <v>M</v>
      </c>
      <c r="K26" s="644" t="s">
        <v>739</v>
      </c>
      <c r="L26" s="989" t="str">
        <f>'DataBase (IMO form)'!AD20</f>
        <v>AB623826</v>
      </c>
      <c r="M26" s="990">
        <f>'DataBase (IMO form)'!AE20</f>
        <v>46685</v>
      </c>
    </row>
    <row r="27" spans="1:21" s="497" customFormat="1" ht="39" customHeight="1" thickBot="1">
      <c r="A27" s="1095"/>
      <c r="B27" s="640">
        <f>'DataBase (IMO form)'!B21</f>
        <v>14</v>
      </c>
      <c r="C27" s="641" t="str">
        <f>'DataBase (IMO form)'!D21</f>
        <v>GIDEI</v>
      </c>
      <c r="D27" s="641" t="str">
        <f>'DataBase (IMO form)'!E21</f>
        <v>NICOLAE</v>
      </c>
      <c r="E27" s="642" t="str">
        <f>'DataBase (IMO form)'!C21</f>
        <v>SETO</v>
      </c>
      <c r="F27" s="642" t="str">
        <f>'DataBase (IMO form)'!L21</f>
        <v>ROMANIAN</v>
      </c>
      <c r="G27" s="876">
        <f>'DataBase (IMO form)'!I21</f>
        <v>27720</v>
      </c>
      <c r="H27" s="644" t="str">
        <f>'DataBase (IMO form)'!K21</f>
        <v>GALATI</v>
      </c>
      <c r="I27" s="644" t="e">
        <v>#REF!</v>
      </c>
      <c r="J27" s="644" t="str">
        <f>'DataBase (IMO form)'!H21</f>
        <v>M</v>
      </c>
      <c r="K27" s="644" t="s">
        <v>739</v>
      </c>
      <c r="L27" s="989" t="str">
        <f>'DataBase (IMO form)'!AD21</f>
        <v>4695GL</v>
      </c>
      <c r="M27" s="990">
        <f>'DataBase (IMO form)'!AE21</f>
        <v>47073</v>
      </c>
    </row>
    <row r="28" spans="1:21" s="497" customFormat="1" ht="39" customHeight="1" thickBot="1">
      <c r="A28" s="1095"/>
      <c r="B28" s="640">
        <f>'DataBase (IMO form)'!B22</f>
        <v>15</v>
      </c>
      <c r="C28" s="641" t="str">
        <f>'DataBase (IMO form)'!D22</f>
        <v>LADINES</v>
      </c>
      <c r="D28" s="641" t="str">
        <f>'DataBase (IMO form)'!E22</f>
        <v>RODOLFO JR.</v>
      </c>
      <c r="E28" s="642" t="str">
        <f>'DataBase (IMO form)'!C22</f>
        <v>BOSUN</v>
      </c>
      <c r="F28" s="642" t="str">
        <f>'DataBase (IMO form)'!L22</f>
        <v>FILIPINO</v>
      </c>
      <c r="G28" s="876">
        <f>'DataBase (IMO form)'!I22</f>
        <v>29241</v>
      </c>
      <c r="H28" s="644" t="str">
        <f>'DataBase (IMO form)'!K22</f>
        <v>SAMPALOC QUEZON</v>
      </c>
      <c r="I28" s="644" t="e">
        <v>#REF!</v>
      </c>
      <c r="J28" s="644" t="str">
        <f>'DataBase (IMO form)'!H22</f>
        <v>M</v>
      </c>
      <c r="K28" s="644" t="s">
        <v>739</v>
      </c>
      <c r="L28" s="989" t="str">
        <f>'DataBase (IMO form)'!AD22</f>
        <v>A0495660</v>
      </c>
      <c r="M28" s="990">
        <f>'DataBase (IMO form)'!AE22</f>
        <v>49701</v>
      </c>
    </row>
    <row r="29" spans="1:21" s="497" customFormat="1" ht="39" customHeight="1" thickBot="1">
      <c r="A29" s="1095"/>
      <c r="B29" s="640">
        <f>'DataBase (IMO form)'!B23</f>
        <v>16</v>
      </c>
      <c r="C29" s="641" t="str">
        <f>'DataBase (IMO form)'!D23</f>
        <v xml:space="preserve">LUPAZ </v>
      </c>
      <c r="D29" s="641" t="str">
        <f>'DataBase (IMO form)'!E23</f>
        <v>ALBERTO JR.</v>
      </c>
      <c r="E29" s="642" t="str">
        <f>'DataBase (IMO form)'!C23</f>
        <v>AB</v>
      </c>
      <c r="F29" s="642" t="str">
        <f>'DataBase (IMO form)'!L23</f>
        <v>FILIPINO</v>
      </c>
      <c r="G29" s="876">
        <f>'DataBase (IMO form)'!I23</f>
        <v>34168</v>
      </c>
      <c r="H29" s="644" t="str">
        <f>'DataBase (IMO form)'!K23</f>
        <v>NASIPIT AND</v>
      </c>
      <c r="I29" s="644" t="e">
        <v>#REF!</v>
      </c>
      <c r="J29" s="644" t="str">
        <f>'DataBase (IMO form)'!H23</f>
        <v>M</v>
      </c>
      <c r="K29" s="644" t="s">
        <v>739</v>
      </c>
      <c r="L29" s="989" t="str">
        <f>'DataBase (IMO form)'!AD23</f>
        <v>A0482204</v>
      </c>
      <c r="M29" s="990">
        <f>'DataBase (IMO form)'!AE23</f>
        <v>49647</v>
      </c>
    </row>
    <row r="30" spans="1:21" s="497" customFormat="1" ht="39" customHeight="1" thickBot="1">
      <c r="A30" s="1095"/>
      <c r="B30" s="640">
        <f>'DataBase (IMO form)'!B24</f>
        <v>17</v>
      </c>
      <c r="C30" s="641" t="str">
        <f>'DataBase (IMO form)'!D24</f>
        <v xml:space="preserve">PALERACIO </v>
      </c>
      <c r="D30" s="641" t="str">
        <f>'DataBase (IMO form)'!E24</f>
        <v>JOHN CALLED</v>
      </c>
      <c r="E30" s="642" t="str">
        <f>'DataBase (IMO form)'!C24</f>
        <v>AB</v>
      </c>
      <c r="F30" s="642" t="str">
        <f>'DataBase (IMO form)'!L24</f>
        <v>FILIPINO</v>
      </c>
      <c r="G30" s="876">
        <f>'DataBase (IMO form)'!I24</f>
        <v>33759</v>
      </c>
      <c r="H30" s="644" t="str">
        <f>'DataBase (IMO form)'!K24</f>
        <v>SAMPALOC QUEZON</v>
      </c>
      <c r="I30" s="644" t="e">
        <v>#REF!</v>
      </c>
      <c r="J30" s="644" t="str">
        <f>'DataBase (IMO form)'!H24</f>
        <v>M</v>
      </c>
      <c r="K30" s="644" t="s">
        <v>739</v>
      </c>
      <c r="L30" s="989" t="str">
        <f>'DataBase (IMO form)'!AD24</f>
        <v>A0120246</v>
      </c>
      <c r="M30" s="990">
        <f>'DataBase (IMO form)'!AE24</f>
        <v>47862</v>
      </c>
    </row>
    <row r="31" spans="1:21" s="497" customFormat="1" ht="39" customHeight="1" thickBot="1">
      <c r="A31" s="1095"/>
      <c r="B31" s="640">
        <f>'DataBase (IMO form)'!B25</f>
        <v>18</v>
      </c>
      <c r="C31" s="641" t="str">
        <f>'DataBase (IMO form)'!D25</f>
        <v xml:space="preserve">RUFON </v>
      </c>
      <c r="D31" s="641" t="str">
        <f>'DataBase (IMO form)'!E25</f>
        <v>NOEL III</v>
      </c>
      <c r="E31" s="642" t="str">
        <f>'DataBase (IMO form)'!C25</f>
        <v>AB</v>
      </c>
      <c r="F31" s="642" t="str">
        <f>'DataBase (IMO form)'!L25</f>
        <v>FILIPINO</v>
      </c>
      <c r="G31" s="876">
        <f>'DataBase (IMO form)'!I25</f>
        <v>35899</v>
      </c>
      <c r="H31" s="644" t="str">
        <f>'DataBase (IMO form)'!K25</f>
        <v>QUEZON CITY</v>
      </c>
      <c r="I31" s="644" t="e">
        <v>#REF!</v>
      </c>
      <c r="J31" s="644" t="str">
        <f>'DataBase (IMO form)'!H25</f>
        <v>M</v>
      </c>
      <c r="K31" s="644" t="s">
        <v>739</v>
      </c>
      <c r="L31" s="989" t="str">
        <f>'DataBase (IMO form)'!AD25</f>
        <v>C1227075</v>
      </c>
      <c r="M31" s="990">
        <f>'DataBase (IMO form)'!AE25</f>
        <v>47384</v>
      </c>
    </row>
    <row r="32" spans="1:21" s="497" customFormat="1" ht="39" customHeight="1" thickBot="1">
      <c r="A32" s="1095"/>
      <c r="B32" s="640">
        <f>'DataBase (IMO form)'!B26</f>
        <v>19</v>
      </c>
      <c r="C32" s="641" t="str">
        <f>'DataBase (IMO form)'!D26</f>
        <v>CASTILLO</v>
      </c>
      <c r="D32" s="641" t="str">
        <f>'DataBase (IMO form)'!E26</f>
        <v>TIMBERT</v>
      </c>
      <c r="E32" s="642" t="str">
        <f>'DataBase (IMO form)'!C26</f>
        <v>AB</v>
      </c>
      <c r="F32" s="642" t="str">
        <f>'DataBase (IMO form)'!L26</f>
        <v>FILIPINO</v>
      </c>
      <c r="G32" s="876">
        <f>'DataBase (IMO form)'!I26</f>
        <v>34015</v>
      </c>
      <c r="H32" s="644" t="str">
        <f>'DataBase (IMO form)'!K26</f>
        <v>BUENAVISTA MDQ</v>
      </c>
      <c r="I32" s="644" t="e">
        <v>#REF!</v>
      </c>
      <c r="J32" s="644" t="str">
        <f>'DataBase (IMO form)'!H26</f>
        <v>M</v>
      </c>
      <c r="K32" s="644" t="s">
        <v>739</v>
      </c>
      <c r="L32" s="989" t="str">
        <f>'DataBase (IMO form)'!AD26</f>
        <v>C1195674</v>
      </c>
      <c r="M32" s="990">
        <f>'DataBase (IMO form)'!AE26</f>
        <v>46853</v>
      </c>
    </row>
    <row r="33" spans="1:13" s="497" customFormat="1" ht="38.25" customHeight="1" thickBot="1">
      <c r="A33" s="1095"/>
      <c r="B33" s="640">
        <f>'DataBase (IMO form)'!B27</f>
        <v>20</v>
      </c>
      <c r="C33" s="641" t="str">
        <f>'DataBase (IMO form)'!D27</f>
        <v>ACULIT</v>
      </c>
      <c r="D33" s="641" t="str">
        <f>'DataBase (IMO form)'!E27</f>
        <v>MIKE LISLIE</v>
      </c>
      <c r="E33" s="642" t="str">
        <f>'DataBase (IMO form)'!C27</f>
        <v>OS</v>
      </c>
      <c r="F33" s="642" t="str">
        <f>'DataBase (IMO form)'!L27</f>
        <v>FILIPINO</v>
      </c>
      <c r="G33" s="876">
        <f>'DataBase (IMO form)'!I27</f>
        <v>35054</v>
      </c>
      <c r="H33" s="644" t="str">
        <f>'DataBase (IMO form)'!K27</f>
        <v>BAGO CITY</v>
      </c>
      <c r="I33" s="644" t="e">
        <v>#REF!</v>
      </c>
      <c r="J33" s="644" t="str">
        <f>'DataBase (IMO form)'!H27</f>
        <v>M</v>
      </c>
      <c r="K33" s="644" t="s">
        <v>739</v>
      </c>
      <c r="L33" s="989" t="str">
        <f>'DataBase (IMO form)'!AD27</f>
        <v>C1401071</v>
      </c>
      <c r="M33" s="990">
        <f>'DataBase (IMO form)'!AE27</f>
        <v>47031</v>
      </c>
    </row>
    <row r="34" spans="1:13" s="497" customFormat="1" ht="38.25" customHeight="1" thickBot="1">
      <c r="A34" s="983"/>
      <c r="B34" s="640">
        <f>'DataBase (IMO form)'!B28</f>
        <v>21</v>
      </c>
      <c r="C34" s="641" t="str">
        <f>'DataBase (IMO form)'!D28</f>
        <v>DOMONDON</v>
      </c>
      <c r="D34" s="641" t="str">
        <f>'DataBase (IMO form)'!E28</f>
        <v>DEXTER</v>
      </c>
      <c r="E34" s="642" t="str">
        <f>'DataBase (IMO form)'!C28</f>
        <v>OS</v>
      </c>
      <c r="F34" s="642" t="str">
        <f>'DataBase (IMO form)'!L28</f>
        <v>FILIPINO</v>
      </c>
      <c r="G34" s="876">
        <f>'DataBase (IMO form)'!I28</f>
        <v>36084</v>
      </c>
      <c r="H34" s="644" t="str">
        <f>'DataBase (IMO form)'!K28</f>
        <v>MARIKINA CITY</v>
      </c>
      <c r="I34" s="644" t="e">
        <v>#REF!</v>
      </c>
      <c r="J34" s="644" t="str">
        <f>'DataBase (IMO form)'!H28</f>
        <v>M</v>
      </c>
      <c r="K34" s="644" t="s">
        <v>739</v>
      </c>
      <c r="L34" s="989" t="str">
        <f>'DataBase (IMO form)'!AD28</f>
        <v>C1518575</v>
      </c>
      <c r="M34" s="990">
        <f>'DataBase (IMO form)'!AE28</f>
        <v>47311</v>
      </c>
    </row>
    <row r="35" spans="1:13" s="497" customFormat="1" ht="38.25" customHeight="1" thickBot="1">
      <c r="A35" s="983"/>
      <c r="B35" s="640">
        <f>'DataBase (IMO form)'!B29</f>
        <v>22</v>
      </c>
      <c r="C35" s="641" t="str">
        <f>'DataBase (IMO form)'!D29</f>
        <v>DACANAY</v>
      </c>
      <c r="D35" s="641" t="str">
        <f>'DataBase (IMO form)'!E29</f>
        <v>JAYSON</v>
      </c>
      <c r="E35" s="642" t="str">
        <f>'DataBase (IMO form)'!C29</f>
        <v>FITTER</v>
      </c>
      <c r="F35" s="642" t="str">
        <f>'DataBase (IMO form)'!L29</f>
        <v>FILIPINO</v>
      </c>
      <c r="G35" s="876">
        <f>'DataBase (IMO form)'!I29</f>
        <v>33621</v>
      </c>
      <c r="H35" s="644" t="str">
        <f>'DataBase (IMO form)'!K29</f>
        <v>SISON PANGASINAN</v>
      </c>
      <c r="I35" s="644" t="e">
        <v>#REF!</v>
      </c>
      <c r="J35" s="644" t="str">
        <f>'DataBase (IMO form)'!H29</f>
        <v>M</v>
      </c>
      <c r="K35" s="644" t="s">
        <v>739</v>
      </c>
      <c r="L35" s="989" t="str">
        <f>'DataBase (IMO form)'!AD29</f>
        <v>C1033223</v>
      </c>
      <c r="M35" s="990">
        <f>'DataBase (IMO form)'!AE29</f>
        <v>46492</v>
      </c>
    </row>
    <row r="36" spans="1:13" s="497" customFormat="1" ht="38.25" customHeight="1" thickBot="1">
      <c r="A36" s="983"/>
      <c r="B36" s="640">
        <f>'DataBase (IMO form)'!B30</f>
        <v>23</v>
      </c>
      <c r="C36" s="641" t="str">
        <f>'DataBase (IMO form)'!D30</f>
        <v>APID</v>
      </c>
      <c r="D36" s="641" t="str">
        <f>'DataBase (IMO form)'!E30</f>
        <v>LORD BYRON</v>
      </c>
      <c r="E36" s="642" t="str">
        <f>'DataBase (IMO form)'!C30</f>
        <v>MTM</v>
      </c>
      <c r="F36" s="642" t="str">
        <f>'DataBase (IMO form)'!L30</f>
        <v>FILIPINO</v>
      </c>
      <c r="G36" s="876">
        <f>'DataBase (IMO form)'!I30</f>
        <v>32630</v>
      </c>
      <c r="H36" s="644" t="str">
        <f>'DataBase (IMO form)'!K30</f>
        <v>DIONISIO ILOILO</v>
      </c>
      <c r="I36" s="644" t="e">
        <v>#REF!</v>
      </c>
      <c r="J36" s="644" t="str">
        <f>'DataBase (IMO form)'!H30</f>
        <v>M</v>
      </c>
      <c r="K36" s="644" t="s">
        <v>739</v>
      </c>
      <c r="L36" s="989" t="str">
        <f>'DataBase (IMO form)'!AD30</f>
        <v>C1017743</v>
      </c>
      <c r="M36" s="990">
        <f>'DataBase (IMO form)'!AE30</f>
        <v>46820</v>
      </c>
    </row>
    <row r="37" spans="1:13" s="497" customFormat="1" ht="38.25" customHeight="1" thickBot="1">
      <c r="A37" s="983"/>
      <c r="B37" s="640">
        <f>'DataBase (IMO form)'!B31</f>
        <v>24</v>
      </c>
      <c r="C37" s="641" t="str">
        <f>'DataBase (IMO form)'!D31</f>
        <v>BRILLANTES</v>
      </c>
      <c r="D37" s="641" t="str">
        <f>'DataBase (IMO form)'!E31</f>
        <v>FER ANN</v>
      </c>
      <c r="E37" s="642" t="str">
        <f>'DataBase (IMO form)'!C31</f>
        <v>MTM</v>
      </c>
      <c r="F37" s="642" t="str">
        <f>'DataBase (IMO form)'!L31</f>
        <v>FILIPINO</v>
      </c>
      <c r="G37" s="876">
        <f>'DataBase (IMO form)'!I31</f>
        <v>33831</v>
      </c>
      <c r="H37" s="644" t="str">
        <f>'DataBase (IMO form)'!K31</f>
        <v>ILOILO CITY</v>
      </c>
      <c r="I37" s="644" t="e">
        <v>#REF!</v>
      </c>
      <c r="J37" s="644" t="str">
        <f>'DataBase (IMO form)'!H31</f>
        <v>M</v>
      </c>
      <c r="K37" s="644" t="s">
        <v>739</v>
      </c>
      <c r="L37" s="989" t="str">
        <f>'DataBase (IMO form)'!AD31</f>
        <v>A0106824</v>
      </c>
      <c r="M37" s="990">
        <f>'DataBase (IMO form)'!AE31</f>
        <v>47895</v>
      </c>
    </row>
    <row r="38" spans="1:13" s="497" customFormat="1" ht="38.25" customHeight="1" thickBot="1">
      <c r="A38" s="983"/>
      <c r="B38" s="640">
        <f>'DataBase (IMO form)'!B32</f>
        <v>25</v>
      </c>
      <c r="C38" s="641" t="str">
        <f>'DataBase (IMO form)'!D32</f>
        <v>FLORES</v>
      </c>
      <c r="D38" s="641" t="str">
        <f>'DataBase (IMO form)'!E32</f>
        <v>NORIEL</v>
      </c>
      <c r="E38" s="642" t="str">
        <f>'DataBase (IMO form)'!C32</f>
        <v>WIPER</v>
      </c>
      <c r="F38" s="642" t="str">
        <f>'DataBase (IMO form)'!L32</f>
        <v>FILIPINO</v>
      </c>
      <c r="G38" s="876">
        <f>'DataBase (IMO form)'!I32</f>
        <v>36550</v>
      </c>
      <c r="H38" s="644" t="str">
        <f>'DataBase (IMO form)'!K32</f>
        <v>P GALERA OR MDO</v>
      </c>
      <c r="I38" s="644" t="e">
        <v>#REF!</v>
      </c>
      <c r="J38" s="644" t="str">
        <f>'DataBase (IMO form)'!H32</f>
        <v>M</v>
      </c>
      <c r="K38" s="644" t="s">
        <v>739</v>
      </c>
      <c r="L38" s="989" t="str">
        <f>'DataBase (IMO form)'!AD32</f>
        <v>A0277972</v>
      </c>
      <c r="M38" s="990">
        <f>'DataBase (IMO form)'!AE32</f>
        <v>48792</v>
      </c>
    </row>
    <row r="39" spans="1:13" s="497" customFormat="1" ht="38.25" customHeight="1" thickBot="1">
      <c r="A39" s="983"/>
      <c r="B39" s="640">
        <f>'DataBase (IMO form)'!B33</f>
        <v>26</v>
      </c>
      <c r="C39" s="641" t="str">
        <f>'DataBase (IMO form)'!D33</f>
        <v>ESTRABELA</v>
      </c>
      <c r="D39" s="641" t="str">
        <f>'DataBase (IMO form)'!E33</f>
        <v>ARIES</v>
      </c>
      <c r="E39" s="642" t="str">
        <f>'DataBase (IMO form)'!C33</f>
        <v>CHIEF COOK</v>
      </c>
      <c r="F39" s="642" t="str">
        <f>'DataBase (IMO form)'!L33</f>
        <v>FILIPINO</v>
      </c>
      <c r="G39" s="876">
        <f>'DataBase (IMO form)'!I33</f>
        <v>34876</v>
      </c>
      <c r="H39" s="644" t="str">
        <f>'DataBase (IMO form)'!K33</f>
        <v>BARCELONA SSG</v>
      </c>
      <c r="I39" s="644" t="e">
        <v>#REF!</v>
      </c>
      <c r="J39" s="644" t="str">
        <f>'DataBase (IMO form)'!H33</f>
        <v>M</v>
      </c>
      <c r="K39" s="644" t="s">
        <v>739</v>
      </c>
      <c r="L39" s="989" t="str">
        <f>'DataBase (IMO form)'!AD33</f>
        <v>A0353766</v>
      </c>
      <c r="M39" s="990">
        <f>'DataBase (IMO form)'!AE33</f>
        <v>49508</v>
      </c>
    </row>
    <row r="40" spans="1:13" s="497" customFormat="1" ht="38.25" customHeight="1" thickBot="1">
      <c r="A40" s="1021"/>
      <c r="B40" s="640">
        <f>'DataBase (IMO form)'!B34</f>
        <v>27</v>
      </c>
      <c r="C40" s="641" t="str">
        <f>'DataBase (IMO form)'!D34</f>
        <v>ALLADO</v>
      </c>
      <c r="D40" s="641" t="str">
        <f>'DataBase (IMO form)'!E34</f>
        <v>KEITH VINCENT</v>
      </c>
      <c r="E40" s="642" t="str">
        <f>'DataBase (IMO form)'!C34</f>
        <v>ASS COOK</v>
      </c>
      <c r="F40" s="642" t="str">
        <f>'DataBase (IMO form)'!L34</f>
        <v>FILIPINO</v>
      </c>
      <c r="G40" s="876">
        <f>'DataBase (IMO form)'!I34</f>
        <v>34074</v>
      </c>
      <c r="H40" s="644" t="str">
        <f>'DataBase (IMO form)'!K34</f>
        <v>SAMPALOC QUEZON</v>
      </c>
      <c r="I40" s="644" t="e">
        <v>#REF!</v>
      </c>
      <c r="J40" s="644" t="str">
        <f>'DataBase (IMO form)'!H34</f>
        <v>M</v>
      </c>
      <c r="K40" s="644" t="s">
        <v>739</v>
      </c>
      <c r="L40" s="989" t="str">
        <f>'DataBase (IMO form)'!AD34</f>
        <v>A0449605</v>
      </c>
      <c r="M40" s="990">
        <f>'DataBase (IMO form)'!AE34</f>
        <v>49694</v>
      </c>
    </row>
    <row r="41" spans="1:13" s="497" customFormat="1" ht="38.25" customHeight="1" thickBot="1">
      <c r="A41" s="1021"/>
      <c r="B41" s="640">
        <f>'DataBase (IMO form)'!B35</f>
        <v>28</v>
      </c>
      <c r="C41" s="641" t="str">
        <f>'DataBase (IMO form)'!D35</f>
        <v>ABES</v>
      </c>
      <c r="D41" s="641" t="str">
        <f>'DataBase (IMO form)'!E35</f>
        <v>JAMES DARWIN</v>
      </c>
      <c r="E41" s="642" t="str">
        <f>'DataBase (IMO form)'!C35</f>
        <v>MSM</v>
      </c>
      <c r="F41" s="642" t="str">
        <f>'DataBase (IMO form)'!L35</f>
        <v>FILIPINO</v>
      </c>
      <c r="G41" s="876">
        <f>'DataBase (IMO form)'!I35</f>
        <v>36409</v>
      </c>
      <c r="H41" s="644" t="str">
        <f>'DataBase (IMO form)'!K35</f>
        <v>GITAGUM MIS OR</v>
      </c>
      <c r="I41" s="644" t="e">
        <v>#REF!</v>
      </c>
      <c r="J41" s="644" t="str">
        <f>'DataBase (IMO form)'!H35</f>
        <v>M</v>
      </c>
      <c r="K41" s="644" t="s">
        <v>739</v>
      </c>
      <c r="L41" s="989" t="str">
        <f>'DataBase (IMO form)'!AD35</f>
        <v>A0067860</v>
      </c>
      <c r="M41" s="990">
        <f>'DataBase (IMO form)'!AE35</f>
        <v>48424</v>
      </c>
    </row>
    <row r="42" spans="1:13" s="497" customFormat="1" ht="26.25" hidden="1" thickBot="1">
      <c r="A42" s="983"/>
      <c r="B42" s="640">
        <f>'DataBase (IMO form)'!B36</f>
        <v>0</v>
      </c>
      <c r="C42" s="641">
        <f>'DataBase (IMO form)'!D36</f>
        <v>0</v>
      </c>
      <c r="D42" s="641">
        <f>'DataBase (IMO form)'!E36</f>
        <v>0</v>
      </c>
      <c r="E42" s="642">
        <f>'DataBase (IMO form)'!C36</f>
        <v>0</v>
      </c>
      <c r="F42" s="642">
        <f>'DataBase (IMO form)'!L36</f>
        <v>0</v>
      </c>
      <c r="G42" s="876">
        <f>'DataBase (IMO form)'!I36</f>
        <v>0</v>
      </c>
      <c r="H42" s="644">
        <f>'DataBase (IMO form)'!K36</f>
        <v>0</v>
      </c>
      <c r="I42" s="644" t="e">
        <v>#REF!</v>
      </c>
      <c r="J42" s="644">
        <f>'DataBase (IMO form)'!H36</f>
        <v>0</v>
      </c>
      <c r="K42" s="644" t="s">
        <v>739</v>
      </c>
      <c r="L42" s="989">
        <f>'DataBase (IMO form)'!AD36</f>
        <v>0</v>
      </c>
      <c r="M42" s="990">
        <f>'DataBase (IMO form)'!AE36</f>
        <v>0</v>
      </c>
    </row>
    <row r="43" spans="1:13" s="497" customFormat="1">
      <c r="A43" s="987"/>
      <c r="B43" s="1133" t="s">
        <v>251</v>
      </c>
      <c r="C43" s="1133"/>
      <c r="D43" s="1133"/>
      <c r="E43" s="1133"/>
      <c r="F43" s="1133"/>
      <c r="G43" s="1133"/>
      <c r="H43" s="1133"/>
      <c r="I43" s="1133"/>
      <c r="J43" s="1133"/>
      <c r="K43" s="1133"/>
      <c r="L43" s="1133"/>
      <c r="M43" s="1133"/>
    </row>
    <row r="44" spans="1:13" s="500" customFormat="1" ht="16.5" customHeight="1">
      <c r="A44" s="499"/>
      <c r="B44" s="1132" t="s">
        <v>143</v>
      </c>
      <c r="C44" s="1132"/>
      <c r="D44" s="1132"/>
      <c r="E44" s="1132"/>
      <c r="F44" s="1132"/>
      <c r="G44" s="1132"/>
      <c r="H44" s="1132"/>
      <c r="I44" s="1132"/>
      <c r="J44" s="1132"/>
      <c r="K44" s="1132"/>
      <c r="L44" s="1132"/>
      <c r="M44" s="1132"/>
    </row>
    <row r="45" spans="1:13" ht="15" customHeight="1">
      <c r="C45" s="503">
        <f>I7</f>
        <v>46106</v>
      </c>
      <c r="E45" s="504"/>
    </row>
    <row r="46" spans="1:13" ht="15">
      <c r="E46" s="504"/>
      <c r="G46" s="1129" t="str">
        <f>M.Menu!S16</f>
        <v>CAPT. WENDT ROBERT</v>
      </c>
      <c r="H46" s="1130"/>
      <c r="I46" s="1130"/>
      <c r="J46" s="1130"/>
      <c r="K46" s="1130"/>
      <c r="L46" s="1130"/>
      <c r="M46" s="984"/>
    </row>
    <row r="47" spans="1:13">
      <c r="A47" s="506"/>
      <c r="B47" s="507"/>
      <c r="C47" s="507"/>
      <c r="D47" s="507"/>
      <c r="E47" s="508"/>
      <c r="G47" s="1131" t="s">
        <v>39</v>
      </c>
      <c r="H47" s="1131"/>
      <c r="I47" s="1131"/>
      <c r="J47" s="1131"/>
      <c r="K47" s="1131"/>
      <c r="L47" s="1131"/>
      <c r="M47" s="985"/>
    </row>
    <row r="48" spans="1:13">
      <c r="E48" s="504"/>
    </row>
    <row r="49" spans="1:11">
      <c r="E49" s="504"/>
    </row>
    <row r="50" spans="1:11">
      <c r="E50" s="504"/>
    </row>
    <row r="51" spans="1:11">
      <c r="E51" s="504"/>
    </row>
    <row r="52" spans="1:11" s="502" customFormat="1">
      <c r="A52" s="501"/>
      <c r="E52" s="504"/>
      <c r="G52" s="505"/>
      <c r="H52" s="504"/>
      <c r="I52" s="504"/>
      <c r="J52" s="504"/>
      <c r="K52" s="504"/>
    </row>
    <row r="53" spans="1:11" s="502" customFormat="1">
      <c r="A53" s="501"/>
      <c r="E53" s="504"/>
      <c r="G53" s="505"/>
      <c r="H53" s="504"/>
      <c r="I53" s="504"/>
      <c r="J53" s="504"/>
      <c r="K53" s="504"/>
    </row>
    <row r="54" spans="1:11" s="502" customFormat="1">
      <c r="A54" s="501"/>
      <c r="E54" s="504"/>
      <c r="G54" s="505"/>
      <c r="H54" s="504"/>
      <c r="I54" s="504"/>
      <c r="J54" s="504"/>
      <c r="K54" s="504"/>
    </row>
    <row r="55" spans="1:11" s="502" customFormat="1">
      <c r="A55" s="501"/>
      <c r="E55" s="504"/>
      <c r="G55" s="505"/>
      <c r="H55" s="504"/>
      <c r="I55" s="504"/>
      <c r="J55" s="504"/>
      <c r="K55" s="504"/>
    </row>
    <row r="56" spans="1:11" s="502" customFormat="1">
      <c r="A56" s="501"/>
      <c r="E56" s="504"/>
      <c r="G56" s="505"/>
      <c r="H56" s="504"/>
      <c r="I56" s="504"/>
      <c r="J56" s="504"/>
      <c r="K56" s="504"/>
    </row>
    <row r="57" spans="1:11" s="502" customFormat="1">
      <c r="A57" s="501"/>
      <c r="E57" s="504"/>
      <c r="G57" s="505"/>
      <c r="H57" s="504"/>
      <c r="I57" s="504"/>
      <c r="J57" s="504"/>
      <c r="K57" s="504"/>
    </row>
    <row r="58" spans="1:11" s="502" customFormat="1">
      <c r="A58" s="501"/>
      <c r="E58" s="504"/>
      <c r="G58" s="505"/>
      <c r="H58" s="504"/>
      <c r="I58" s="504"/>
      <c r="J58" s="504"/>
      <c r="K58" s="504"/>
    </row>
    <row r="59" spans="1:11" s="502" customFormat="1">
      <c r="A59" s="501"/>
      <c r="E59" s="504"/>
      <c r="G59" s="505"/>
      <c r="H59" s="504"/>
      <c r="I59" s="504"/>
      <c r="J59" s="504"/>
      <c r="K59" s="504"/>
    </row>
    <row r="60" spans="1:11" s="502" customFormat="1">
      <c r="A60" s="501"/>
      <c r="E60" s="504"/>
      <c r="G60" s="505"/>
      <c r="H60" s="504"/>
      <c r="I60" s="504"/>
      <c r="J60" s="504"/>
      <c r="K60" s="504"/>
    </row>
    <row r="61" spans="1:11" s="502" customFormat="1">
      <c r="A61" s="501"/>
      <c r="E61" s="504"/>
      <c r="G61" s="505"/>
      <c r="H61" s="504"/>
      <c r="I61" s="504"/>
      <c r="J61" s="504"/>
      <c r="K61" s="504"/>
    </row>
    <row r="62" spans="1:11" s="502" customFormat="1">
      <c r="A62" s="501"/>
      <c r="E62" s="504"/>
      <c r="G62" s="505"/>
      <c r="H62" s="504"/>
      <c r="I62" s="504"/>
      <c r="J62" s="504"/>
      <c r="K62" s="504"/>
    </row>
    <row r="63" spans="1:11" s="502" customFormat="1">
      <c r="A63" s="501"/>
      <c r="E63" s="504"/>
      <c r="G63" s="505"/>
      <c r="H63" s="504"/>
      <c r="I63" s="504"/>
      <c r="J63" s="504"/>
      <c r="K63" s="504"/>
    </row>
    <row r="64" spans="1:11" s="502" customFormat="1">
      <c r="A64" s="501"/>
      <c r="E64" s="504"/>
      <c r="G64" s="505"/>
      <c r="H64" s="504"/>
      <c r="I64" s="504"/>
      <c r="J64" s="504"/>
      <c r="K64" s="504"/>
    </row>
  </sheetData>
  <sheetProtection formatRows="0"/>
  <mergeCells count="28">
    <mergeCell ref="I6:M6"/>
    <mergeCell ref="F7:H8"/>
    <mergeCell ref="I7:M11"/>
    <mergeCell ref="B2:M2"/>
    <mergeCell ref="B3:M3"/>
    <mergeCell ref="L4:M4"/>
    <mergeCell ref="B5:D5"/>
    <mergeCell ref="L5:M5"/>
    <mergeCell ref="A27:A33"/>
    <mergeCell ref="B11:E11"/>
    <mergeCell ref="F11:H11"/>
    <mergeCell ref="B12:B13"/>
    <mergeCell ref="C12:C13"/>
    <mergeCell ref="D12:D13"/>
    <mergeCell ref="E12:E13"/>
    <mergeCell ref="F12:F13"/>
    <mergeCell ref="G12:G13"/>
    <mergeCell ref="H12:H13"/>
    <mergeCell ref="A6:A26"/>
    <mergeCell ref="D6:E6"/>
    <mergeCell ref="B43:M43"/>
    <mergeCell ref="B44:M44"/>
    <mergeCell ref="G46:L46"/>
    <mergeCell ref="G47:L47"/>
    <mergeCell ref="J12:J13"/>
    <mergeCell ref="K12:K13"/>
    <mergeCell ref="L12:L13"/>
    <mergeCell ref="M12:M13"/>
  </mergeCells>
  <conditionalFormatting sqref="B14:M39 B42:M42">
    <cfRule type="cellIs" dxfId="162" priority="23168" stopIfTrue="1" operator="lessThanOrEqual">
      <formula>$S$7</formula>
    </cfRule>
  </conditionalFormatting>
  <conditionalFormatting sqref="B40:M41">
    <cfRule type="cellIs" dxfId="161" priority="1" stopIfTrue="1" operator="lessThanOrEqual">
      <formula>$S$7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9" scale="5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E6C1-DF69-41FF-9503-1023F34CF036}">
  <sheetPr>
    <tabColor rgb="FF008000"/>
    <pageSetUpPr fitToPage="1"/>
  </sheetPr>
  <dimension ref="A1:U64"/>
  <sheetViews>
    <sheetView showGridLines="0" showZeros="0" view="pageBreakPreview" topLeftCell="A10" zoomScale="55" zoomScaleNormal="70" zoomScaleSheetLayoutView="55" workbookViewId="0">
      <selection activeCell="G36" sqref="G36"/>
    </sheetView>
  </sheetViews>
  <sheetFormatPr defaultColWidth="9.140625" defaultRowHeight="12.75"/>
  <cols>
    <col min="1" max="1" width="1.5703125" style="501" customWidth="1"/>
    <col min="2" max="2" width="6" style="502" customWidth="1"/>
    <col min="3" max="3" width="29.140625" style="502" customWidth="1"/>
    <col min="4" max="4" width="31.5703125" style="502" customWidth="1"/>
    <col min="5" max="5" width="10" style="502" customWidth="1"/>
    <col min="6" max="6" width="18.140625" style="502" customWidth="1"/>
    <col min="7" max="7" width="13.28515625" style="505" bestFit="1" customWidth="1"/>
    <col min="8" max="8" width="16.28515625" style="504" customWidth="1"/>
    <col min="9" max="9" width="4.7109375" style="504" hidden="1" customWidth="1"/>
    <col min="10" max="10" width="8.85546875" style="504" customWidth="1"/>
    <col min="11" max="11" width="12.7109375" style="504" customWidth="1"/>
    <col min="12" max="13" width="22.140625" style="502" customWidth="1"/>
    <col min="14" max="16384" width="9.140625" style="501"/>
  </cols>
  <sheetData>
    <row r="1" spans="1:13" s="460" customFormat="1" ht="27" customHeight="1" thickBot="1">
      <c r="A1" s="865" t="s">
        <v>143</v>
      </c>
      <c r="B1" s="461"/>
      <c r="C1" s="461"/>
      <c r="D1" s="461"/>
      <c r="E1" s="461"/>
      <c r="F1" s="461"/>
      <c r="G1" s="462"/>
      <c r="H1" s="463"/>
      <c r="I1" s="463"/>
      <c r="J1" s="463"/>
      <c r="K1" s="463"/>
      <c r="L1" s="461"/>
      <c r="M1" s="461"/>
    </row>
    <row r="2" spans="1:13" s="460" customFormat="1" ht="30" customHeight="1">
      <c r="A2" s="864"/>
      <c r="B2" s="1089" t="s">
        <v>88</v>
      </c>
      <c r="C2" s="1090"/>
      <c r="D2" s="1090"/>
      <c r="E2" s="1090"/>
      <c r="F2" s="1090"/>
      <c r="G2" s="1090"/>
      <c r="H2" s="1090"/>
      <c r="I2" s="1090"/>
      <c r="J2" s="1090"/>
      <c r="K2" s="1090"/>
      <c r="L2" s="1090"/>
      <c r="M2" s="1091"/>
    </row>
    <row r="3" spans="1:13" s="460" customFormat="1" ht="14.25" customHeight="1" thickBot="1">
      <c r="A3" s="858"/>
      <c r="B3" s="1092" t="s">
        <v>257</v>
      </c>
      <c r="C3" s="1093"/>
      <c r="D3" s="1093"/>
      <c r="E3" s="1093"/>
      <c r="F3" s="1093"/>
      <c r="G3" s="1093"/>
      <c r="H3" s="1093"/>
      <c r="I3" s="1093"/>
      <c r="J3" s="1093"/>
      <c r="K3" s="1093"/>
      <c r="L3" s="1093"/>
      <c r="M3" s="1094"/>
    </row>
    <row r="4" spans="1:13" s="468" customFormat="1" ht="13.5" customHeight="1">
      <c r="A4" s="464"/>
      <c r="B4" s="859"/>
      <c r="C4" s="465"/>
      <c r="D4" s="465"/>
      <c r="E4" s="465"/>
      <c r="F4" s="465"/>
      <c r="G4" s="466"/>
      <c r="H4" s="467"/>
      <c r="I4" s="467"/>
      <c r="J4" s="467"/>
      <c r="K4" s="467"/>
      <c r="L4" s="1112" t="s">
        <v>181</v>
      </c>
      <c r="M4" s="1114"/>
    </row>
    <row r="5" spans="1:13" s="468" customFormat="1" ht="18.75" customHeight="1" thickBot="1">
      <c r="A5" s="464"/>
      <c r="B5" s="1105"/>
      <c r="C5" s="1106"/>
      <c r="D5" s="1106"/>
      <c r="E5" s="860"/>
      <c r="F5" s="861" t="s">
        <v>87</v>
      </c>
      <c r="G5" s="862"/>
      <c r="H5" s="861"/>
      <c r="I5" s="863"/>
      <c r="J5" s="863"/>
      <c r="K5" s="863"/>
      <c r="L5" s="1115" t="s">
        <v>73</v>
      </c>
      <c r="M5" s="1117"/>
    </row>
    <row r="6" spans="1:13" s="473" customFormat="1" ht="18.95" customHeight="1" thickBot="1">
      <c r="A6" s="1111"/>
      <c r="B6" s="469" t="s">
        <v>238</v>
      </c>
      <c r="C6" s="470"/>
      <c r="D6" s="1107" t="str">
        <f>M.Menu!E3</f>
        <v>Energy Endurance</v>
      </c>
      <c r="E6" s="1107"/>
      <c r="F6" s="469" t="s">
        <v>82</v>
      </c>
      <c r="G6" s="471"/>
      <c r="H6" s="472"/>
      <c r="I6" s="1118" t="s">
        <v>210</v>
      </c>
      <c r="J6" s="1119"/>
      <c r="K6" s="1119"/>
      <c r="L6" s="1119"/>
      <c r="M6" s="1120"/>
    </row>
    <row r="7" spans="1:13" s="473" customFormat="1" ht="18.95" customHeight="1">
      <c r="A7" s="1111"/>
      <c r="B7" s="474" t="s">
        <v>250</v>
      </c>
      <c r="C7" s="475"/>
      <c r="D7" s="476" t="s">
        <v>231</v>
      </c>
      <c r="E7" s="477"/>
      <c r="F7" s="1108" t="str">
        <f>M.Menu!L11&amp;", "&amp;M.Menu!L12</f>
        <v>Sabine Pass, U.S.A.</v>
      </c>
      <c r="G7" s="1109"/>
      <c r="H7" s="1110"/>
      <c r="I7" s="1096">
        <f>M.Menu!L13</f>
        <v>46106</v>
      </c>
      <c r="J7" s="1097"/>
      <c r="K7" s="1097"/>
      <c r="L7" s="1097"/>
      <c r="M7" s="1098"/>
    </row>
    <row r="8" spans="1:13" s="473" customFormat="1" ht="18.95" customHeight="1">
      <c r="A8" s="1111"/>
      <c r="B8" s="474" t="s">
        <v>81</v>
      </c>
      <c r="C8" s="475"/>
      <c r="D8" s="478" t="str">
        <f>M.Menu!E4</f>
        <v>V7A7282</v>
      </c>
      <c r="E8" s="477"/>
      <c r="F8" s="1108" t="str">
        <f>M.Menu!E8&amp;", "&amp;M.Menu!E9</f>
        <v xml:space="preserve">NFE Transport Partners LLC, </v>
      </c>
      <c r="G8" s="1109"/>
      <c r="H8" s="1110"/>
      <c r="I8" s="1099"/>
      <c r="J8" s="1100"/>
      <c r="K8" s="1100"/>
      <c r="L8" s="1100"/>
      <c r="M8" s="1101"/>
    </row>
    <row r="9" spans="1:13" s="473" customFormat="1" ht="18.95" customHeight="1" thickBot="1">
      <c r="A9" s="1111"/>
      <c r="B9" s="479" t="s">
        <v>285</v>
      </c>
      <c r="C9" s="480"/>
      <c r="D9" s="481" t="str">
        <f>M.Menu!S13</f>
        <v>VOY16</v>
      </c>
      <c r="E9" s="482"/>
      <c r="F9" s="483"/>
      <c r="G9" s="484"/>
      <c r="H9" s="485"/>
      <c r="I9" s="1099"/>
      <c r="J9" s="1100"/>
      <c r="K9" s="1100"/>
      <c r="L9" s="1100"/>
      <c r="M9" s="1101"/>
    </row>
    <row r="10" spans="1:13" s="468" customFormat="1" ht="24" customHeight="1">
      <c r="A10" s="1111"/>
      <c r="B10" s="486" t="s">
        <v>84</v>
      </c>
      <c r="C10" s="487"/>
      <c r="D10" s="488"/>
      <c r="E10" s="489"/>
      <c r="F10" s="486" t="s">
        <v>85</v>
      </c>
      <c r="G10" s="490"/>
      <c r="H10" s="986"/>
      <c r="I10" s="1099"/>
      <c r="J10" s="1100"/>
      <c r="K10" s="1100"/>
      <c r="L10" s="1100"/>
      <c r="M10" s="1101"/>
    </row>
    <row r="11" spans="1:13" s="491" customFormat="1" ht="24" customHeight="1" thickBot="1">
      <c r="A11" s="1111"/>
      <c r="B11" s="1134" t="str">
        <f>M.Menu!L8</f>
        <v>Marshall Islands</v>
      </c>
      <c r="C11" s="1135"/>
      <c r="D11" s="1135"/>
      <c r="E11" s="1135"/>
      <c r="F11" s="1136" t="str">
        <f>M.Menu!E11&amp;", "&amp;M.Menu!E12</f>
        <v>BARCARENA, BRAZIL</v>
      </c>
      <c r="G11" s="1137"/>
      <c r="H11" s="1138"/>
      <c r="I11" s="1102"/>
      <c r="J11" s="1103"/>
      <c r="K11" s="1103"/>
      <c r="L11" s="1103"/>
      <c r="M11" s="1104"/>
    </row>
    <row r="12" spans="1:13" s="493" customFormat="1" ht="17.100000000000001" customHeight="1">
      <c r="A12" s="1111"/>
      <c r="B12" s="1123" t="s">
        <v>241</v>
      </c>
      <c r="C12" s="1123" t="s">
        <v>242</v>
      </c>
      <c r="D12" s="1123" t="s">
        <v>243</v>
      </c>
      <c r="E12" s="1143" t="s">
        <v>361</v>
      </c>
      <c r="F12" s="1141" t="s">
        <v>86</v>
      </c>
      <c r="G12" s="1121" t="s">
        <v>240</v>
      </c>
      <c r="H12" s="1121" t="s">
        <v>239</v>
      </c>
      <c r="I12" s="492"/>
      <c r="J12" s="1139" t="s">
        <v>244</v>
      </c>
      <c r="K12" s="1126" t="s">
        <v>252</v>
      </c>
      <c r="L12" s="1126" t="s">
        <v>253</v>
      </c>
      <c r="M12" s="1126" t="s">
        <v>712</v>
      </c>
    </row>
    <row r="13" spans="1:13" s="493" customFormat="1" ht="17.100000000000001" customHeight="1" thickBot="1">
      <c r="A13" s="1111"/>
      <c r="B13" s="1125"/>
      <c r="C13" s="1124"/>
      <c r="D13" s="1124"/>
      <c r="E13" s="1144"/>
      <c r="F13" s="1142"/>
      <c r="G13" s="1122"/>
      <c r="H13" s="1122"/>
      <c r="I13" s="494"/>
      <c r="J13" s="1140"/>
      <c r="K13" s="1128"/>
      <c r="L13" s="1128"/>
      <c r="M13" s="1128"/>
    </row>
    <row r="14" spans="1:13" s="495" customFormat="1" ht="39" customHeight="1" thickBot="1">
      <c r="A14" s="1111"/>
      <c r="B14" s="640">
        <f>'DataBase (IMO form)'!B8</f>
        <v>1</v>
      </c>
      <c r="C14" s="641" t="str">
        <f>'DataBase (IMO form)'!D8</f>
        <v xml:space="preserve">WENDT </v>
      </c>
      <c r="D14" s="641" t="str">
        <f>'DataBase (IMO form)'!E8</f>
        <v>ROBERT KRZYSZTOF</v>
      </c>
      <c r="E14" s="642" t="str">
        <f>'DataBase (IMO form)'!C8</f>
        <v>MASTER</v>
      </c>
      <c r="F14" s="642" t="str">
        <f>'DataBase (IMO form)'!L8</f>
        <v>POLISH</v>
      </c>
      <c r="G14" s="876">
        <f>'DataBase (IMO form)'!I8</f>
        <v>31616</v>
      </c>
      <c r="H14" s="644" t="str">
        <f>'DataBase (IMO form)'!K8</f>
        <v>GDANSK</v>
      </c>
      <c r="I14" s="644" t="e">
        <v>#REF!</v>
      </c>
      <c r="J14" s="644" t="str">
        <f>'DataBase (IMO form)'!H8</f>
        <v>M</v>
      </c>
      <c r="K14" s="644" t="s">
        <v>739</v>
      </c>
      <c r="L14" s="989" t="str">
        <f>IF('DataBase (IMO form)'!AF8=0, 'DataBase (IMO form)'!AH8, 'DataBase (IMO form)'!AF8)</f>
        <v>MH 970901</v>
      </c>
      <c r="M14" s="990">
        <f>'DataBase (IMO form)'!AG8</f>
        <v>46896</v>
      </c>
    </row>
    <row r="15" spans="1:13" s="495" customFormat="1" ht="39" customHeight="1" thickBot="1">
      <c r="A15" s="1111"/>
      <c r="B15" s="640">
        <f>'DataBase (IMO form)'!B9</f>
        <v>2</v>
      </c>
      <c r="C15" s="641" t="str">
        <f>'DataBase (IMO form)'!D9</f>
        <v>THANASIS</v>
      </c>
      <c r="D15" s="641" t="str">
        <f>'DataBase (IMO form)'!E9</f>
        <v>EVANGELOS</v>
      </c>
      <c r="E15" s="642" t="str">
        <f>'DataBase (IMO form)'!C9</f>
        <v>CHIEF OFF</v>
      </c>
      <c r="F15" s="642" t="str">
        <f>'DataBase (IMO form)'!L9</f>
        <v>HELLENIC</v>
      </c>
      <c r="G15" s="876">
        <f>'DataBase (IMO form)'!I9</f>
        <v>34373</v>
      </c>
      <c r="H15" s="644" t="str">
        <f>'DataBase (IMO form)'!K9</f>
        <v>KERKYRA</v>
      </c>
      <c r="I15" s="644" t="e">
        <v>#REF!</v>
      </c>
      <c r="J15" s="644" t="str">
        <f>'DataBase (IMO form)'!H9</f>
        <v>M</v>
      </c>
      <c r="K15" s="644" t="s">
        <v>739</v>
      </c>
      <c r="L15" s="989" t="str">
        <f>IF('DataBase (IMO form)'!AF9=0, 'DataBase (IMO form)'!AH9, 'DataBase (IMO form)'!AF9)</f>
        <v>Original</v>
      </c>
      <c r="M15" s="990">
        <f>'DataBase (IMO form)'!AG9</f>
        <v>0</v>
      </c>
    </row>
    <row r="16" spans="1:13" s="495" customFormat="1" ht="39" customHeight="1" thickBot="1">
      <c r="A16" s="1111"/>
      <c r="B16" s="640">
        <f>'DataBase (IMO form)'!B11</f>
        <v>4</v>
      </c>
      <c r="C16" s="641" t="str">
        <f>'DataBase (IMO form)'!D11</f>
        <v>BUTS</v>
      </c>
      <c r="D16" s="641" t="str">
        <f>'DataBase (IMO form)'!E11</f>
        <v>KOSTIANTYN</v>
      </c>
      <c r="E16" s="642" t="str">
        <f>'DataBase (IMO form)'!C11</f>
        <v>2ND OFF</v>
      </c>
      <c r="F16" s="642" t="str">
        <f>'DataBase (IMO form)'!L11</f>
        <v>UKRAINIAN</v>
      </c>
      <c r="G16" s="876">
        <f>'DataBase (IMO form)'!I11</f>
        <v>31971</v>
      </c>
      <c r="H16" s="644" t="str">
        <f>'DataBase (IMO form)'!K11</f>
        <v>UKRAINE</v>
      </c>
      <c r="I16" s="644" t="e">
        <v>#REF!</v>
      </c>
      <c r="J16" s="644" t="str">
        <f>'DataBase (IMO form)'!H11</f>
        <v>M</v>
      </c>
      <c r="K16" s="644" t="s">
        <v>739</v>
      </c>
      <c r="L16" s="989" t="str">
        <f>IF('DataBase (IMO form)'!AF11=0, 'DataBase (IMO form)'!AH11, 'DataBase (IMO form)'!AF11)</f>
        <v>MH 904486</v>
      </c>
      <c r="M16" s="990">
        <f>'DataBase (IMO form)'!AG11</f>
        <v>46643</v>
      </c>
    </row>
    <row r="17" spans="1:21" s="495" customFormat="1" ht="39" customHeight="1" thickBot="1">
      <c r="A17" s="1111"/>
      <c r="B17" s="640">
        <f>'DataBase (IMO form)'!B12</f>
        <v>5</v>
      </c>
      <c r="C17" s="641" t="str">
        <f>'DataBase (IMO form)'!D12</f>
        <v xml:space="preserve">STAMATIOU </v>
      </c>
      <c r="D17" s="641" t="str">
        <f>'DataBase (IMO form)'!E12</f>
        <v>VASILEIOS</v>
      </c>
      <c r="E17" s="642" t="str">
        <f>'DataBase (IMO form)'!C12</f>
        <v>3RD OFF</v>
      </c>
      <c r="F17" s="642" t="str">
        <f>'DataBase (IMO form)'!L12</f>
        <v>HELLENIC</v>
      </c>
      <c r="G17" s="876">
        <f>'DataBase (IMO form)'!I12</f>
        <v>37225</v>
      </c>
      <c r="H17" s="644" t="str">
        <f>'DataBase (IMO form)'!K12</f>
        <v>MAROUSI</v>
      </c>
      <c r="I17" s="644" t="e">
        <v>#REF!</v>
      </c>
      <c r="J17" s="644" t="str">
        <f>'DataBase (IMO form)'!H12</f>
        <v>M</v>
      </c>
      <c r="K17" s="644" t="s">
        <v>739</v>
      </c>
      <c r="L17" s="989" t="str">
        <f>IF('DataBase (IMO form)'!AF12=0, 'DataBase (IMO form)'!AH12, 'DataBase (IMO form)'!AF12)</f>
        <v>MH 956958</v>
      </c>
      <c r="M17" s="990">
        <f>'DataBase (IMO form)'!AG12</f>
        <v>46870</v>
      </c>
    </row>
    <row r="18" spans="1:21" s="495" customFormat="1" ht="39" customHeight="1" thickBot="1">
      <c r="A18" s="1111"/>
      <c r="B18" s="640">
        <f>'DataBase (IMO form)'!B13</f>
        <v>6</v>
      </c>
      <c r="C18" s="641" t="str">
        <f>'DataBase (IMO form)'!D13</f>
        <v>KOUIMOV</v>
      </c>
      <c r="D18" s="641" t="str">
        <f>'DataBase (IMO form)'!E13</f>
        <v>ENTOUARNT OR EDUARD</v>
      </c>
      <c r="E18" s="642" t="str">
        <f>'DataBase (IMO form)'!C13</f>
        <v xml:space="preserve">3RD OFF </v>
      </c>
      <c r="F18" s="642" t="str">
        <f>'DataBase (IMO form)'!L13</f>
        <v>HELLENIC</v>
      </c>
      <c r="G18" s="876">
        <f>'DataBase (IMO form)'!I13</f>
        <v>36547</v>
      </c>
      <c r="H18" s="644" t="str">
        <f>'DataBase (IMO form)'!K13</f>
        <v>NAKHODKA</v>
      </c>
      <c r="I18" s="644" t="e">
        <v>#REF!</v>
      </c>
      <c r="J18" s="644" t="str">
        <f>'DataBase (IMO form)'!H13</f>
        <v>M</v>
      </c>
      <c r="K18" s="644" t="s">
        <v>739</v>
      </c>
      <c r="L18" s="989" t="str">
        <f>IF('DataBase (IMO form)'!AF13=0, 'DataBase (IMO form)'!AH13, 'DataBase (IMO form)'!AF13)</f>
        <v>MH 981628</v>
      </c>
      <c r="M18" s="990">
        <f>'DataBase (IMO form)'!AG13</f>
        <v>47003</v>
      </c>
    </row>
    <row r="19" spans="1:21" s="495" customFormat="1" ht="39" customHeight="1" thickBot="1">
      <c r="A19" s="1111"/>
      <c r="B19" s="640">
        <f>'DataBase (IMO form)'!B14</f>
        <v>7</v>
      </c>
      <c r="C19" s="641" t="str">
        <f>'DataBase (IMO form)'!D14</f>
        <v>CHATZIDIMITRIOU</v>
      </c>
      <c r="D19" s="641" t="str">
        <f>'DataBase (IMO form)'!E14</f>
        <v>MARIA</v>
      </c>
      <c r="E19" s="642" t="str">
        <f>'DataBase (IMO form)'!C14</f>
        <v>DECK CADET</v>
      </c>
      <c r="F19" s="642" t="str">
        <f>'DataBase (IMO form)'!L14</f>
        <v>HELLENIC</v>
      </c>
      <c r="G19" s="876">
        <f>'DataBase (IMO form)'!I14</f>
        <v>37644</v>
      </c>
      <c r="H19" s="644" t="str">
        <f>'DataBase (IMO form)'!K14</f>
        <v>THESSALONIKI</v>
      </c>
      <c r="I19" s="644" t="e">
        <v>#REF!</v>
      </c>
      <c r="J19" s="644" t="str">
        <f>'DataBase (IMO form)'!H14</f>
        <v>F</v>
      </c>
      <c r="K19" s="644" t="s">
        <v>739</v>
      </c>
      <c r="L19" s="989" t="str">
        <f>IF('DataBase (IMO form)'!AF14=0, 'DataBase (IMO form)'!AH14, 'DataBase (IMO form)'!AF14)</f>
        <v>MH 1101404</v>
      </c>
      <c r="M19" s="990">
        <f>'DataBase (IMO form)'!AG14</f>
        <v>47560</v>
      </c>
      <c r="U19" s="496"/>
    </row>
    <row r="20" spans="1:21" s="495" customFormat="1" ht="39" customHeight="1" thickBot="1">
      <c r="A20" s="1111"/>
      <c r="B20" s="640">
        <f>'DataBase (IMO form)'!B15</f>
        <v>8</v>
      </c>
      <c r="C20" s="641" t="str">
        <f>'DataBase (IMO form)'!D15</f>
        <v xml:space="preserve">PETROPOULOS </v>
      </c>
      <c r="D20" s="641" t="str">
        <f>'DataBase (IMO form)'!E15</f>
        <v>CHRISTOS</v>
      </c>
      <c r="E20" s="642" t="str">
        <f>'DataBase (IMO form)'!C15</f>
        <v>CHIEF ENG</v>
      </c>
      <c r="F20" s="642" t="str">
        <f>'DataBase (IMO form)'!L15</f>
        <v>HELLENIC</v>
      </c>
      <c r="G20" s="876">
        <f>'DataBase (IMO form)'!I15</f>
        <v>24483</v>
      </c>
      <c r="H20" s="644" t="str">
        <f>'DataBase (IMO form)'!K15</f>
        <v>KOZANI</v>
      </c>
      <c r="I20" s="644" t="e">
        <v>#REF!</v>
      </c>
      <c r="J20" s="644" t="str">
        <f>'DataBase (IMO form)'!H15</f>
        <v>M</v>
      </c>
      <c r="K20" s="644" t="s">
        <v>739</v>
      </c>
      <c r="L20" s="989" t="str">
        <f>IF('DataBase (IMO form)'!AF15=0, 'DataBase (IMO form)'!AH15, 'DataBase (IMO form)'!AF15)</f>
        <v>MH 859292</v>
      </c>
      <c r="M20" s="990">
        <f>'DataBase (IMO form)'!AG15</f>
        <v>46488</v>
      </c>
    </row>
    <row r="21" spans="1:21" s="495" customFormat="1" ht="39" customHeight="1" thickBot="1">
      <c r="A21" s="1111"/>
      <c r="B21" s="640">
        <f>'DataBase (IMO form)'!B16</f>
        <v>9</v>
      </c>
      <c r="C21" s="641" t="str">
        <f>'DataBase (IMO form)'!D16</f>
        <v>SYTNYK</v>
      </c>
      <c r="D21" s="641" t="str">
        <f>'DataBase (IMO form)'!E16</f>
        <v xml:space="preserve">YEVGENIY </v>
      </c>
      <c r="E21" s="642" t="str">
        <f>'DataBase (IMO form)'!C16</f>
        <v>2ND ENG</v>
      </c>
      <c r="F21" s="642" t="str">
        <f>'DataBase (IMO form)'!L16</f>
        <v xml:space="preserve">UKRAINIAN </v>
      </c>
      <c r="G21" s="876">
        <f>'DataBase (IMO form)'!I16</f>
        <v>32852</v>
      </c>
      <c r="H21" s="644" t="str">
        <f>'DataBase (IMO form)'!K16</f>
        <v>ODESSA</v>
      </c>
      <c r="I21" s="644" t="e">
        <v>#REF!</v>
      </c>
      <c r="J21" s="644" t="str">
        <f>'DataBase (IMO form)'!H16</f>
        <v>M</v>
      </c>
      <c r="K21" s="644" t="s">
        <v>739</v>
      </c>
      <c r="L21" s="989" t="str">
        <f>IF('DataBase (IMO form)'!AF16=0, 'DataBase (IMO form)'!AH16, 'DataBase (IMO form)'!AF16)</f>
        <v>MH 11469449</v>
      </c>
      <c r="M21" s="990">
        <f>'DataBase (IMO form)'!AG16</f>
        <v>47798</v>
      </c>
    </row>
    <row r="22" spans="1:21" s="495" customFormat="1" ht="39" customHeight="1" thickBot="1">
      <c r="A22" s="1111"/>
      <c r="B22" s="640">
        <f>'DataBase (IMO form)'!B17</f>
        <v>10</v>
      </c>
      <c r="C22" s="641" t="str">
        <f>'DataBase (IMO form)'!D17</f>
        <v>KACHUR</v>
      </c>
      <c r="D22" s="641" t="str">
        <f>'DataBase (IMO form)'!E17</f>
        <v>MYKOLA</v>
      </c>
      <c r="E22" s="642" t="str">
        <f>'DataBase (IMO form)'!C17</f>
        <v>3RD ENG</v>
      </c>
      <c r="F22" s="642" t="str">
        <f>'DataBase (IMO form)'!L17</f>
        <v>UKRAINIAN</v>
      </c>
      <c r="G22" s="876">
        <f>'DataBase (IMO form)'!I17</f>
        <v>35418</v>
      </c>
      <c r="H22" s="644" t="str">
        <f>'DataBase (IMO form)'!K17</f>
        <v>UKRAINE</v>
      </c>
      <c r="I22" s="644" t="e">
        <v>#REF!</v>
      </c>
      <c r="J22" s="644" t="str">
        <f>'DataBase (IMO form)'!H17</f>
        <v>M</v>
      </c>
      <c r="K22" s="644" t="s">
        <v>739</v>
      </c>
      <c r="L22" s="989" t="str">
        <f>IF('DataBase (IMO form)'!AF17=0, 'DataBase (IMO form)'!AH17, 'DataBase (IMO form)'!AF17)</f>
        <v>MH 77412</v>
      </c>
      <c r="M22" s="990">
        <f>'DataBase (IMO form)'!AG17</f>
        <v>46091</v>
      </c>
    </row>
    <row r="23" spans="1:21" s="495" customFormat="1" ht="39" customHeight="1" thickBot="1">
      <c r="A23" s="1111"/>
      <c r="B23" s="640">
        <f>'DataBase (IMO form)'!B18</f>
        <v>11</v>
      </c>
      <c r="C23" s="641" t="e">
        <f>'DataBase (IMO form)'!#REF!</f>
        <v>#REF!</v>
      </c>
      <c r="D23" s="641" t="e">
        <f>'DataBase (IMO form)'!#REF!</f>
        <v>#REF!</v>
      </c>
      <c r="E23" s="642" t="str">
        <f>'DataBase (IMO form)'!C18</f>
        <v>3RD ENG</v>
      </c>
      <c r="F23" s="642" t="e">
        <f>'DataBase (IMO form)'!#REF!</f>
        <v>#REF!</v>
      </c>
      <c r="G23" s="876" t="e">
        <f>'DataBase (IMO form)'!#REF!</f>
        <v>#REF!</v>
      </c>
      <c r="H23" s="644" t="e">
        <f>'DataBase (IMO form)'!#REF!</f>
        <v>#REF!</v>
      </c>
      <c r="I23" s="644" t="e">
        <v>#REF!</v>
      </c>
      <c r="J23" s="644" t="e">
        <f>'DataBase (IMO form)'!#REF!</f>
        <v>#REF!</v>
      </c>
      <c r="K23" s="644" t="s">
        <v>739</v>
      </c>
      <c r="L23" s="989" t="e">
        <f>IF('DataBase (IMO form)'!#REF!=0, 'DataBase (IMO form)'!#REF!, 'DataBase (IMO form)'!#REF!)</f>
        <v>#REF!</v>
      </c>
      <c r="M23" s="990" t="e">
        <f>'DataBase (IMO form)'!#REF!</f>
        <v>#REF!</v>
      </c>
    </row>
    <row r="24" spans="1:21" s="495" customFormat="1" ht="39" customHeight="1" thickBot="1">
      <c r="A24" s="1111"/>
      <c r="B24" s="640" t="e">
        <f>'DataBase (IMO form)'!#REF!</f>
        <v>#REF!</v>
      </c>
      <c r="C24" s="641" t="e">
        <f>'DataBase (IMO form)'!#REF!</f>
        <v>#REF!</v>
      </c>
      <c r="D24" s="641" t="e">
        <f>'DataBase (IMO form)'!#REF!</f>
        <v>#REF!</v>
      </c>
      <c r="E24" s="642" t="e">
        <f>'DataBase (IMO form)'!#REF!</f>
        <v>#REF!</v>
      </c>
      <c r="F24" s="642" t="e">
        <f>'DataBase (IMO form)'!#REF!</f>
        <v>#REF!</v>
      </c>
      <c r="G24" s="876" t="e">
        <f>'DataBase (IMO form)'!#REF!</f>
        <v>#REF!</v>
      </c>
      <c r="H24" s="644" t="e">
        <f>'DataBase (IMO form)'!#REF!</f>
        <v>#REF!</v>
      </c>
      <c r="I24" s="644" t="e">
        <v>#REF!</v>
      </c>
      <c r="J24" s="644" t="e">
        <f>'DataBase (IMO form)'!#REF!</f>
        <v>#REF!</v>
      </c>
      <c r="K24" s="644" t="s">
        <v>739</v>
      </c>
      <c r="L24" s="989" t="e">
        <f>IF('DataBase (IMO form)'!#REF!=0, 'DataBase (IMO form)'!#REF!, 'DataBase (IMO form)'!#REF!)</f>
        <v>#REF!</v>
      </c>
      <c r="M24" s="990" t="e">
        <f>'DataBase (IMO form)'!#REF!</f>
        <v>#REF!</v>
      </c>
      <c r="P24" s="495" t="s">
        <v>143</v>
      </c>
    </row>
    <row r="25" spans="1:21" s="497" customFormat="1" ht="39" customHeight="1" thickBot="1">
      <c r="A25" s="1111"/>
      <c r="B25" s="640">
        <f>'DataBase (IMO form)'!B20</f>
        <v>13</v>
      </c>
      <c r="C25" s="641" t="str">
        <f>'DataBase (IMO form)'!D20</f>
        <v>YEMELIANOV</v>
      </c>
      <c r="D25" s="641" t="str">
        <f>'DataBase (IMO form)'!E20</f>
        <v>RICHARD</v>
      </c>
      <c r="E25" s="642" t="str">
        <f>'DataBase (IMO form)'!C20</f>
        <v xml:space="preserve">GAS ENG </v>
      </c>
      <c r="F25" s="642" t="str">
        <f>'DataBase (IMO form)'!L20</f>
        <v>UKRAINIAN</v>
      </c>
      <c r="G25" s="876">
        <f>'DataBase (IMO form)'!I20</f>
        <v>32955</v>
      </c>
      <c r="H25" s="644" t="str">
        <f>'DataBase (IMO form)'!K20</f>
        <v>UKRAINE</v>
      </c>
      <c r="I25" s="644" t="e">
        <v>#REF!</v>
      </c>
      <c r="J25" s="644" t="str">
        <f>'DataBase (IMO form)'!H20</f>
        <v>M</v>
      </c>
      <c r="K25" s="644" t="s">
        <v>739</v>
      </c>
      <c r="L25" s="989" t="str">
        <f>IF('DataBase (IMO form)'!AF20=0, 'DataBase (IMO form)'!AH20, 'DataBase (IMO form)'!AF20)</f>
        <v>MH 925122</v>
      </c>
      <c r="M25" s="990">
        <f>'DataBase (IMO form)'!AG20</f>
        <v>46741</v>
      </c>
    </row>
    <row r="26" spans="1:21" s="497" customFormat="1" ht="39" customHeight="1" thickBot="1">
      <c r="A26" s="1111"/>
      <c r="B26" s="640">
        <f>'DataBase (IMO form)'!B21</f>
        <v>14</v>
      </c>
      <c r="C26" s="641" t="str">
        <f>'DataBase (IMO form)'!D21</f>
        <v>GIDEI</v>
      </c>
      <c r="D26" s="641" t="str">
        <f>'DataBase (IMO form)'!E21</f>
        <v>NICOLAE</v>
      </c>
      <c r="E26" s="642" t="str">
        <f>'DataBase (IMO form)'!C21</f>
        <v>SETO</v>
      </c>
      <c r="F26" s="642" t="str">
        <f>'DataBase (IMO form)'!L21</f>
        <v>ROMANIAN</v>
      </c>
      <c r="G26" s="876">
        <f>'DataBase (IMO form)'!I21</f>
        <v>27720</v>
      </c>
      <c r="H26" s="644" t="str">
        <f>'DataBase (IMO form)'!K21</f>
        <v>GALATI</v>
      </c>
      <c r="I26" s="644" t="e">
        <v>#REF!</v>
      </c>
      <c r="J26" s="644" t="str">
        <f>'DataBase (IMO form)'!H21</f>
        <v>M</v>
      </c>
      <c r="K26" s="644" t="s">
        <v>739</v>
      </c>
      <c r="L26" s="989" t="str">
        <f>IF('DataBase (IMO form)'!AF21=0, 'DataBase (IMO form)'!AH21, 'DataBase (IMO form)'!AF21)</f>
        <v>MH 916167</v>
      </c>
      <c r="M26" s="990">
        <f>'DataBase (IMO form)'!AG21</f>
        <v>46740</v>
      </c>
    </row>
    <row r="27" spans="1:21" s="497" customFormat="1" ht="39" customHeight="1" thickBot="1">
      <c r="A27" s="1095"/>
      <c r="B27" s="640" t="e">
        <f>'DataBase (IMO form)'!#REF!</f>
        <v>#REF!</v>
      </c>
      <c r="C27" s="641" t="str">
        <f>'DataBase (IMO form)'!D18</f>
        <v>COLEASA</v>
      </c>
      <c r="D27" s="641" t="str">
        <f>'DataBase (IMO form)'!E18</f>
        <v>STEFAN  CIPRIAN</v>
      </c>
      <c r="E27" s="642" t="e">
        <f>'DataBase (IMO form)'!#REF!</f>
        <v>#REF!</v>
      </c>
      <c r="F27" s="642" t="str">
        <f>'DataBase (IMO form)'!L18</f>
        <v>ROMANIAN</v>
      </c>
      <c r="G27" s="876">
        <f>'DataBase (IMO form)'!I18</f>
        <v>33966</v>
      </c>
      <c r="H27" s="644" t="str">
        <f>'DataBase (IMO form)'!K18</f>
        <v>CONSTANTA</v>
      </c>
      <c r="I27" s="644" t="e">
        <v>#REF!</v>
      </c>
      <c r="J27" s="644" t="str">
        <f>'DataBase (IMO form)'!H18</f>
        <v>M</v>
      </c>
      <c r="K27" s="644" t="s">
        <v>739</v>
      </c>
      <c r="L27" s="989" t="str">
        <f>IF('DataBase (IMO form)'!AF18=0, 'DataBase (IMO form)'!AH18, 'DataBase (IMO form)'!AF18)</f>
        <v>Original</v>
      </c>
      <c r="M27" s="990">
        <f>'DataBase (IMO form)'!AG18</f>
        <v>0</v>
      </c>
    </row>
    <row r="28" spans="1:21" s="497" customFormat="1" ht="39" customHeight="1" thickBot="1">
      <c r="A28" s="1095"/>
      <c r="B28" s="640">
        <f>'DataBase (IMO form)'!B22</f>
        <v>15</v>
      </c>
      <c r="C28" s="641" t="str">
        <f>'DataBase (IMO form)'!D22</f>
        <v>LADINES</v>
      </c>
      <c r="D28" s="641" t="str">
        <f>'DataBase (IMO form)'!E22</f>
        <v>RODOLFO JR.</v>
      </c>
      <c r="E28" s="642" t="str">
        <f>'DataBase (IMO form)'!C22</f>
        <v>BOSUN</v>
      </c>
      <c r="F28" s="642" t="str">
        <f>'DataBase (IMO form)'!L22</f>
        <v>FILIPINO</v>
      </c>
      <c r="G28" s="876">
        <f>'DataBase (IMO form)'!I22</f>
        <v>29241</v>
      </c>
      <c r="H28" s="644" t="str">
        <f>'DataBase (IMO form)'!K22</f>
        <v>SAMPALOC QUEZON</v>
      </c>
      <c r="I28" s="644" t="e">
        <v>#REF!</v>
      </c>
      <c r="J28" s="644" t="str">
        <f>'DataBase (IMO form)'!H22</f>
        <v>M</v>
      </c>
      <c r="K28" s="644" t="s">
        <v>739</v>
      </c>
      <c r="L28" s="989" t="str">
        <f>IF('DataBase (IMO form)'!AF22=0, 'DataBase (IMO form)'!AH22, 'DataBase (IMO form)'!AF22)</f>
        <v>Original</v>
      </c>
      <c r="M28" s="990">
        <f>'DataBase (IMO form)'!AG22</f>
        <v>0</v>
      </c>
    </row>
    <row r="29" spans="1:21" s="497" customFormat="1" ht="39" customHeight="1" thickBot="1">
      <c r="A29" s="1095"/>
      <c r="B29" s="640">
        <f>'DataBase (IMO form)'!B23</f>
        <v>16</v>
      </c>
      <c r="C29" s="641" t="str">
        <f>'DataBase (IMO form)'!D23</f>
        <v xml:space="preserve">LUPAZ </v>
      </c>
      <c r="D29" s="641" t="str">
        <f>'DataBase (IMO form)'!E23</f>
        <v>ALBERTO JR.</v>
      </c>
      <c r="E29" s="642" t="str">
        <f>'DataBase (IMO form)'!C23</f>
        <v>AB</v>
      </c>
      <c r="F29" s="642" t="str">
        <f>'DataBase (IMO form)'!L23</f>
        <v>FILIPINO</v>
      </c>
      <c r="G29" s="876">
        <f>'DataBase (IMO form)'!I23</f>
        <v>34168</v>
      </c>
      <c r="H29" s="644" t="str">
        <f>'DataBase (IMO form)'!K23</f>
        <v>NASIPIT AND</v>
      </c>
      <c r="I29" s="644" t="e">
        <v>#REF!</v>
      </c>
      <c r="J29" s="644" t="str">
        <f>'DataBase (IMO form)'!H23</f>
        <v>M</v>
      </c>
      <c r="K29" s="644" t="s">
        <v>739</v>
      </c>
      <c r="L29" s="989" t="str">
        <f>IF('DataBase (IMO form)'!AF23=0, 'DataBase (IMO form)'!AH23, 'DataBase (IMO form)'!AF23)</f>
        <v>Original</v>
      </c>
      <c r="M29" s="990">
        <f>'DataBase (IMO form)'!AG23</f>
        <v>0</v>
      </c>
    </row>
    <row r="30" spans="1:21" s="497" customFormat="1" ht="39" customHeight="1" thickBot="1">
      <c r="A30" s="1095"/>
      <c r="B30" s="640">
        <f>'DataBase (IMO form)'!B24</f>
        <v>17</v>
      </c>
      <c r="C30" s="641" t="str">
        <f>'DataBase (IMO form)'!D24</f>
        <v xml:space="preserve">PALERACIO </v>
      </c>
      <c r="D30" s="641" t="str">
        <f>'DataBase (IMO form)'!E24</f>
        <v>JOHN CALLED</v>
      </c>
      <c r="E30" s="642" t="str">
        <f>'DataBase (IMO form)'!C24</f>
        <v>AB</v>
      </c>
      <c r="F30" s="642" t="str">
        <f>'DataBase (IMO form)'!L24</f>
        <v>FILIPINO</v>
      </c>
      <c r="G30" s="876">
        <f>'DataBase (IMO form)'!I24</f>
        <v>33759</v>
      </c>
      <c r="H30" s="644" t="str">
        <f>'DataBase (IMO form)'!K24</f>
        <v>SAMPALOC QUEZON</v>
      </c>
      <c r="I30" s="644" t="e">
        <v>#REF!</v>
      </c>
      <c r="J30" s="644" t="str">
        <f>'DataBase (IMO form)'!H24</f>
        <v>M</v>
      </c>
      <c r="K30" s="644" t="s">
        <v>739</v>
      </c>
      <c r="L30" s="989" t="str">
        <f>IF('DataBase (IMO form)'!AF24=0, 'DataBase (IMO form)'!AH24, 'DataBase (IMO form)'!AF24)</f>
        <v>Original</v>
      </c>
      <c r="M30" s="990">
        <f>'DataBase (IMO form)'!AG24</f>
        <v>0</v>
      </c>
    </row>
    <row r="31" spans="1:21" s="497" customFormat="1" ht="39" customHeight="1" thickBot="1">
      <c r="A31" s="1095"/>
      <c r="B31" s="640">
        <f>'DataBase (IMO form)'!B25</f>
        <v>18</v>
      </c>
      <c r="C31" s="641" t="str">
        <f>'DataBase (IMO form)'!D25</f>
        <v xml:space="preserve">RUFON </v>
      </c>
      <c r="D31" s="641" t="str">
        <f>'DataBase (IMO form)'!E25</f>
        <v>NOEL III</v>
      </c>
      <c r="E31" s="642" t="str">
        <f>'DataBase (IMO form)'!C25</f>
        <v>AB</v>
      </c>
      <c r="F31" s="642" t="str">
        <f>'DataBase (IMO form)'!L25</f>
        <v>FILIPINO</v>
      </c>
      <c r="G31" s="876">
        <f>'DataBase (IMO form)'!I25</f>
        <v>35899</v>
      </c>
      <c r="H31" s="644" t="str">
        <f>'DataBase (IMO form)'!K25</f>
        <v>QUEZON CITY</v>
      </c>
      <c r="I31" s="644" t="e">
        <v>#REF!</v>
      </c>
      <c r="J31" s="644" t="str">
        <f>'DataBase (IMO form)'!H25</f>
        <v>M</v>
      </c>
      <c r="K31" s="644" t="s">
        <v>739</v>
      </c>
      <c r="L31" s="989" t="str">
        <f>IF('DataBase (IMO form)'!AF25=0, 'DataBase (IMO form)'!AH25, 'DataBase (IMO form)'!AF25)</f>
        <v>MH 994967</v>
      </c>
      <c r="M31" s="990">
        <f>'DataBase (IMO form)'!AG25</f>
        <v>47059</v>
      </c>
    </row>
    <row r="32" spans="1:21" s="497" customFormat="1" ht="39" customHeight="1" thickBot="1">
      <c r="A32" s="1095"/>
      <c r="B32" s="640">
        <f>'DataBase (IMO form)'!B27</f>
        <v>20</v>
      </c>
      <c r="C32" s="641" t="str">
        <f>'DataBase (IMO form)'!D27</f>
        <v>ACULIT</v>
      </c>
      <c r="D32" s="641" t="str">
        <f>'DataBase (IMO form)'!E27</f>
        <v>MIKE LISLIE</v>
      </c>
      <c r="E32" s="642" t="str">
        <f>'DataBase (IMO form)'!C27</f>
        <v>OS</v>
      </c>
      <c r="F32" s="642" t="str">
        <f>'DataBase (IMO form)'!L27</f>
        <v>FILIPINO</v>
      </c>
      <c r="G32" s="876">
        <f>'DataBase (IMO form)'!I27</f>
        <v>35054</v>
      </c>
      <c r="H32" s="644" t="str">
        <f>'DataBase (IMO form)'!K27</f>
        <v>BAGO CITY</v>
      </c>
      <c r="I32" s="644" t="e">
        <v>#REF!</v>
      </c>
      <c r="J32" s="644" t="str">
        <f>'DataBase (IMO form)'!H27</f>
        <v>M</v>
      </c>
      <c r="K32" s="644" t="s">
        <v>739</v>
      </c>
      <c r="L32" s="989" t="str">
        <f>IF('DataBase (IMO form)'!AF27=0, 'DataBase (IMO form)'!AH27, 'DataBase (IMO form)'!AF27)</f>
        <v>MH 1065960</v>
      </c>
      <c r="M32" s="990">
        <f>'DataBase (IMO form)'!AG27</f>
        <v>47378</v>
      </c>
    </row>
    <row r="33" spans="1:13" s="497" customFormat="1" ht="38.25" customHeight="1" thickBot="1">
      <c r="A33" s="1095"/>
      <c r="B33" s="640">
        <f>'DataBase (IMO form)'!B28</f>
        <v>21</v>
      </c>
      <c r="C33" s="641" t="str">
        <f>'DataBase (IMO form)'!D28</f>
        <v>DOMONDON</v>
      </c>
      <c r="D33" s="641" t="str">
        <f>'DataBase (IMO form)'!E28</f>
        <v>DEXTER</v>
      </c>
      <c r="E33" s="642" t="str">
        <f>'DataBase (IMO form)'!C28</f>
        <v>OS</v>
      </c>
      <c r="F33" s="642" t="str">
        <f>'DataBase (IMO form)'!L28</f>
        <v>FILIPINO</v>
      </c>
      <c r="G33" s="876">
        <f>'DataBase (IMO form)'!I28</f>
        <v>36084</v>
      </c>
      <c r="H33" s="644" t="str">
        <f>'DataBase (IMO form)'!K28</f>
        <v>MARIKINA CITY</v>
      </c>
      <c r="I33" s="644" t="e">
        <v>#REF!</v>
      </c>
      <c r="J33" s="644" t="str">
        <f>'DataBase (IMO form)'!H28</f>
        <v>M</v>
      </c>
      <c r="K33" s="644" t="s">
        <v>739</v>
      </c>
      <c r="L33" s="989" t="str">
        <f>IF('DataBase (IMO form)'!AF28=0, 'DataBase (IMO form)'!AH28, 'DataBase (IMO form)'!AF28)</f>
        <v>MH 1159248</v>
      </c>
      <c r="M33" s="990">
        <f>'DataBase (IMO form)'!AG28</f>
        <v>47807</v>
      </c>
    </row>
    <row r="34" spans="1:13" s="497" customFormat="1" ht="38.25" customHeight="1" thickBot="1">
      <c r="A34" s="983"/>
      <c r="B34" s="640">
        <f>'DataBase (IMO form)'!B29</f>
        <v>22</v>
      </c>
      <c r="C34" s="641" t="str">
        <f>'DataBase (IMO form)'!D29</f>
        <v>DACANAY</v>
      </c>
      <c r="D34" s="641" t="str">
        <f>'DataBase (IMO form)'!E29</f>
        <v>JAYSON</v>
      </c>
      <c r="E34" s="642" t="str">
        <f>'DataBase (IMO form)'!C29</f>
        <v>FITTER</v>
      </c>
      <c r="F34" s="642" t="str">
        <f>'DataBase (IMO form)'!L29</f>
        <v>FILIPINO</v>
      </c>
      <c r="G34" s="876">
        <f>'DataBase (IMO form)'!I29</f>
        <v>33621</v>
      </c>
      <c r="H34" s="644" t="str">
        <f>'DataBase (IMO form)'!K29</f>
        <v>SISON PANGASINAN</v>
      </c>
      <c r="I34" s="644" t="e">
        <v>#REF!</v>
      </c>
      <c r="J34" s="644" t="str">
        <f>'DataBase (IMO form)'!H29</f>
        <v>M</v>
      </c>
      <c r="K34" s="644" t="s">
        <v>739</v>
      </c>
      <c r="L34" s="989" t="str">
        <f>IF('DataBase (IMO form)'!AF29=0, 'DataBase (IMO form)'!AH29, 'DataBase (IMO form)'!AF29)</f>
        <v>MH 972208</v>
      </c>
      <c r="M34" s="990">
        <f>'DataBase (IMO form)'!AG29</f>
        <v>46947</v>
      </c>
    </row>
    <row r="35" spans="1:13" s="497" customFormat="1" ht="38.25" customHeight="1" thickBot="1">
      <c r="A35" s="983"/>
      <c r="B35" s="640">
        <f>'DataBase (IMO form)'!B30</f>
        <v>23</v>
      </c>
      <c r="C35" s="641" t="str">
        <f>'DataBase (IMO form)'!D30</f>
        <v>APID</v>
      </c>
      <c r="D35" s="641" t="str">
        <f>'DataBase (IMO form)'!E30</f>
        <v>LORD BYRON</v>
      </c>
      <c r="E35" s="642" t="str">
        <f>'DataBase (IMO form)'!C30</f>
        <v>MTM</v>
      </c>
      <c r="F35" s="642" t="str">
        <f>'DataBase (IMO form)'!L30</f>
        <v>FILIPINO</v>
      </c>
      <c r="G35" s="876" t="s">
        <v>935</v>
      </c>
      <c r="H35" s="644" t="str">
        <f>'DataBase (IMO form)'!K30</f>
        <v>DIONISIO ILOILO</v>
      </c>
      <c r="I35" s="644" t="e">
        <v>#REF!</v>
      </c>
      <c r="J35" s="644" t="str">
        <f>'DataBase (IMO form)'!H30</f>
        <v>M</v>
      </c>
      <c r="K35" s="644" t="s">
        <v>739</v>
      </c>
      <c r="L35" s="989" t="str">
        <f>IF('DataBase (IMO form)'!AF30=0, 'DataBase (IMO form)'!AH30, 'DataBase (IMO form)'!AF30)</f>
        <v>MH 995403</v>
      </c>
      <c r="M35" s="990">
        <f>'DataBase (IMO form)'!AG30</f>
        <v>47064</v>
      </c>
    </row>
    <row r="36" spans="1:13" s="497" customFormat="1" ht="38.25" customHeight="1" thickBot="1">
      <c r="A36" s="983"/>
      <c r="B36" s="640">
        <f>'DataBase (IMO form)'!B31</f>
        <v>24</v>
      </c>
      <c r="C36" s="641" t="str">
        <f>'DataBase (IMO form)'!D31</f>
        <v>BRILLANTES</v>
      </c>
      <c r="D36" s="641" t="str">
        <f>'DataBase (IMO form)'!E31</f>
        <v>FER ANN</v>
      </c>
      <c r="E36" s="642" t="str">
        <f>'DataBase (IMO form)'!C31</f>
        <v>MTM</v>
      </c>
      <c r="F36" s="642" t="str">
        <f>'DataBase (IMO form)'!L31</f>
        <v>FILIPINO</v>
      </c>
      <c r="G36" s="876">
        <f>'DataBase (IMO form)'!I31</f>
        <v>33831</v>
      </c>
      <c r="H36" s="644" t="str">
        <f>'DataBase (IMO form)'!K31</f>
        <v>ILOILO CITY</v>
      </c>
      <c r="I36" s="644" t="e">
        <v>#REF!</v>
      </c>
      <c r="J36" s="644" t="str">
        <f>'DataBase (IMO form)'!H31</f>
        <v>M</v>
      </c>
      <c r="K36" s="644" t="s">
        <v>739</v>
      </c>
      <c r="L36" s="989" t="str">
        <f>IF('DataBase (IMO form)'!AF31=0, 'DataBase (IMO form)'!AH31, 'DataBase (IMO form)'!AF31)</f>
        <v>MH 879873</v>
      </c>
      <c r="M36" s="990">
        <f>'DataBase (IMO form)'!AG31</f>
        <v>46606</v>
      </c>
    </row>
    <row r="37" spans="1:13" s="497" customFormat="1" ht="38.25" customHeight="1" thickBot="1">
      <c r="A37" s="983"/>
      <c r="B37" s="640">
        <f>'DataBase (IMO form)'!B32</f>
        <v>25</v>
      </c>
      <c r="C37" s="641" t="str">
        <f>'DataBase (IMO form)'!D32</f>
        <v>FLORES</v>
      </c>
      <c r="D37" s="641" t="str">
        <f>'DataBase (IMO form)'!E32</f>
        <v>NORIEL</v>
      </c>
      <c r="E37" s="642" t="str">
        <f>'DataBase (IMO form)'!C32</f>
        <v>WIPER</v>
      </c>
      <c r="F37" s="642" t="str">
        <f>'DataBase (IMO form)'!L32</f>
        <v>FILIPINO</v>
      </c>
      <c r="G37" s="876">
        <f>'DataBase (IMO form)'!I32</f>
        <v>36550</v>
      </c>
      <c r="H37" s="644" t="str">
        <f>'DataBase (IMO form)'!K32</f>
        <v>P GALERA OR MDO</v>
      </c>
      <c r="I37" s="644" t="e">
        <v>#REF!</v>
      </c>
      <c r="J37" s="644" t="str">
        <f>'DataBase (IMO form)'!H32</f>
        <v>M</v>
      </c>
      <c r="K37" s="644" t="s">
        <v>739</v>
      </c>
      <c r="L37" s="989" t="str">
        <f>IF('DataBase (IMO form)'!AF32=0, 'DataBase (IMO form)'!AH32, 'DataBase (IMO form)'!AF32)</f>
        <v>MH 1020115</v>
      </c>
      <c r="M37" s="990">
        <f>'DataBase (IMO form)'!AG32</f>
        <v>47180</v>
      </c>
    </row>
    <row r="38" spans="1:13" s="497" customFormat="1" ht="38.25" customHeight="1" thickBot="1">
      <c r="A38" s="983"/>
      <c r="B38" s="640">
        <f>'DataBase (IMO form)'!B33</f>
        <v>26</v>
      </c>
      <c r="C38" s="641" t="str">
        <f>'DataBase (IMO form)'!D33</f>
        <v>ESTRABELA</v>
      </c>
      <c r="D38" s="641" t="str">
        <f>'DataBase (IMO form)'!E33</f>
        <v>ARIES</v>
      </c>
      <c r="E38" s="642" t="str">
        <f>'DataBase (IMO form)'!C33</f>
        <v>CHIEF COOK</v>
      </c>
      <c r="F38" s="642" t="str">
        <f>'DataBase (IMO form)'!L33</f>
        <v>FILIPINO</v>
      </c>
      <c r="G38" s="876">
        <f>'DataBase (IMO form)'!I33</f>
        <v>34876</v>
      </c>
      <c r="H38" s="644" t="str">
        <f>'DataBase (IMO form)'!K33</f>
        <v>BARCELONA SSG</v>
      </c>
      <c r="I38" s="644" t="e">
        <v>#REF!</v>
      </c>
      <c r="J38" s="644" t="str">
        <f>'DataBase (IMO form)'!H33</f>
        <v>M</v>
      </c>
      <c r="K38" s="644" t="s">
        <v>739</v>
      </c>
      <c r="L38" s="989" t="str">
        <f>IF('DataBase (IMO form)'!AF33=0, 'DataBase (IMO form)'!AH33, 'DataBase (IMO form)'!AF33)</f>
        <v>MH 972207</v>
      </c>
      <c r="M38" s="990">
        <f>'DataBase (IMO form)'!AG33</f>
        <v>46947</v>
      </c>
    </row>
    <row r="39" spans="1:13" s="497" customFormat="1" ht="38.25" customHeight="1" thickBot="1">
      <c r="A39" s="983"/>
      <c r="B39" s="640">
        <f>'DataBase (IMO form)'!B34</f>
        <v>27</v>
      </c>
      <c r="C39" s="641" t="str">
        <f>'DataBase (IMO form)'!D34</f>
        <v>ALLADO</v>
      </c>
      <c r="D39" s="641" t="str">
        <f>'DataBase (IMO form)'!E34</f>
        <v>KEITH VINCENT</v>
      </c>
      <c r="E39" s="642" t="str">
        <f>'DataBase (IMO form)'!C34</f>
        <v>ASS COOK</v>
      </c>
      <c r="F39" s="642" t="str">
        <f>'DataBase (IMO form)'!L34</f>
        <v>FILIPINO</v>
      </c>
      <c r="G39" s="876">
        <f>'DataBase (IMO form)'!I34</f>
        <v>34074</v>
      </c>
      <c r="H39" s="644" t="str">
        <f>'DataBase (IMO form)'!K34</f>
        <v>SAMPALOC QUEZON</v>
      </c>
      <c r="I39" s="644" t="e">
        <v>#REF!</v>
      </c>
      <c r="J39" s="644" t="str">
        <f>'DataBase (IMO form)'!H34</f>
        <v>M</v>
      </c>
      <c r="K39" s="644" t="s">
        <v>739</v>
      </c>
      <c r="L39" s="989" t="str">
        <f>IF('DataBase (IMO form)'!AF34=0, 'DataBase (IMO form)'!AH34, 'DataBase (IMO form)'!AF34)</f>
        <v>Original</v>
      </c>
      <c r="M39" s="990">
        <f>'DataBase (IMO form)'!AG34</f>
        <v>0</v>
      </c>
    </row>
    <row r="40" spans="1:13" s="497" customFormat="1" ht="26.25" thickBot="1">
      <c r="A40" s="983"/>
      <c r="B40" s="640">
        <f>'DataBase (IMO form)'!B35</f>
        <v>28</v>
      </c>
      <c r="C40" s="641" t="str">
        <f>'DataBase (IMO form)'!D35</f>
        <v>ABES</v>
      </c>
      <c r="D40" s="641" t="str">
        <f>'DataBase (IMO form)'!E35</f>
        <v>JAMES DARWIN</v>
      </c>
      <c r="E40" s="642" t="str">
        <f>'DataBase (IMO form)'!C35</f>
        <v>MSM</v>
      </c>
      <c r="F40" s="642" t="str">
        <f>'DataBase (IMO form)'!L35</f>
        <v>FILIPINO</v>
      </c>
      <c r="G40" s="876">
        <f>'DataBase (IMO form)'!I35</f>
        <v>36409</v>
      </c>
      <c r="H40" s="644" t="str">
        <f>'DataBase (IMO form)'!K35</f>
        <v>GITAGUM MIS OR</v>
      </c>
      <c r="I40" s="644" t="e">
        <v>#REF!</v>
      </c>
      <c r="J40" s="644" t="str">
        <f>'DataBase (IMO form)'!H35</f>
        <v>M</v>
      </c>
      <c r="K40" s="644" t="s">
        <v>739</v>
      </c>
      <c r="L40" s="989" t="str">
        <f>IF('DataBase (IMO form)'!AF35=0, 'DataBase (IMO form)'!AH35, 'DataBase (IMO form)'!AF35)</f>
        <v>MH 1123766</v>
      </c>
      <c r="M40" s="990">
        <f>'DataBase (IMO form)'!AG35</f>
        <v>47119</v>
      </c>
    </row>
    <row r="41" spans="1:13" s="497" customFormat="1" ht="26.25" hidden="1" thickBot="1">
      <c r="A41" s="983"/>
      <c r="B41" s="640" t="e">
        <f>'DataBase (IMO form)'!#REF!</f>
        <v>#REF!</v>
      </c>
      <c r="C41" s="641" t="e">
        <f>'DataBase (IMO form)'!#REF!</f>
        <v>#REF!</v>
      </c>
      <c r="D41" s="641" t="e">
        <f>'DataBase (IMO form)'!#REF!</f>
        <v>#REF!</v>
      </c>
      <c r="E41" s="642" t="e">
        <f>'DataBase (IMO form)'!#REF!</f>
        <v>#REF!</v>
      </c>
      <c r="F41" s="642" t="e">
        <f>'DataBase (IMO form)'!#REF!</f>
        <v>#REF!</v>
      </c>
      <c r="G41" s="876" t="e">
        <f>'DataBase (IMO form)'!#REF!</f>
        <v>#REF!</v>
      </c>
      <c r="H41" s="644" t="e">
        <f>'DataBase (IMO form)'!#REF!</f>
        <v>#REF!</v>
      </c>
      <c r="I41" s="644" t="e">
        <v>#REF!</v>
      </c>
      <c r="J41" s="644" t="e">
        <f>'DataBase (IMO form)'!#REF!</f>
        <v>#REF!</v>
      </c>
      <c r="K41" s="644" t="s">
        <v>739</v>
      </c>
      <c r="L41" s="989" t="e">
        <f>IF('DataBase (IMO form)'!#REF!=0, 'DataBase (IMO form)'!#REF!, 'DataBase (IMO form)'!#REF!)</f>
        <v>#REF!</v>
      </c>
      <c r="M41" s="990" t="e">
        <f>'DataBase (IMO form)'!#REF!</f>
        <v>#REF!</v>
      </c>
    </row>
    <row r="42" spans="1:13" s="497" customFormat="1" ht="26.25" hidden="1" thickBot="1">
      <c r="A42" s="983"/>
      <c r="B42" s="640" t="e">
        <f>'DataBase (IMO form)'!#REF!</f>
        <v>#REF!</v>
      </c>
      <c r="C42" s="641" t="e">
        <f>'DataBase (IMO form)'!#REF!</f>
        <v>#REF!</v>
      </c>
      <c r="D42" s="641" t="e">
        <f>'DataBase (IMO form)'!#REF!</f>
        <v>#REF!</v>
      </c>
      <c r="E42" s="642" t="e">
        <f>'DataBase (IMO form)'!#REF!</f>
        <v>#REF!</v>
      </c>
      <c r="F42" s="642" t="e">
        <f>'DataBase (IMO form)'!#REF!</f>
        <v>#REF!</v>
      </c>
      <c r="G42" s="876" t="e">
        <f>'DataBase (IMO form)'!#REF!</f>
        <v>#REF!</v>
      </c>
      <c r="H42" s="644" t="e">
        <f>'DataBase (IMO form)'!#REF!</f>
        <v>#REF!</v>
      </c>
      <c r="I42" s="644" t="e">
        <v>#REF!</v>
      </c>
      <c r="J42" s="644" t="e">
        <f>'DataBase (IMO form)'!#REF!</f>
        <v>#REF!</v>
      </c>
      <c r="K42" s="644" t="s">
        <v>739</v>
      </c>
      <c r="L42" s="989" t="e">
        <f>IF('DataBase (IMO form)'!#REF!=0, 'DataBase (IMO form)'!#REF!, 'DataBase (IMO form)'!#REF!)</f>
        <v>#REF!</v>
      </c>
      <c r="M42" s="990" t="e">
        <f>'DataBase (IMO form)'!#REF!</f>
        <v>#REF!</v>
      </c>
    </row>
    <row r="43" spans="1:13" s="497" customFormat="1" ht="22.5" customHeight="1">
      <c r="A43" s="987"/>
      <c r="B43" s="1133" t="s">
        <v>251</v>
      </c>
      <c r="C43" s="1133"/>
      <c r="D43" s="1133"/>
      <c r="E43" s="1133"/>
      <c r="F43" s="1133"/>
      <c r="G43" s="1133"/>
      <c r="H43" s="1133"/>
      <c r="I43" s="1133"/>
      <c r="J43" s="1133"/>
      <c r="K43" s="1133"/>
      <c r="L43" s="1133"/>
      <c r="M43" s="1133"/>
    </row>
    <row r="44" spans="1:13" s="500" customFormat="1" ht="16.5" customHeight="1">
      <c r="A44" s="499"/>
      <c r="B44" s="1132" t="s">
        <v>143</v>
      </c>
      <c r="C44" s="1132"/>
      <c r="D44" s="1132"/>
      <c r="E44" s="1132"/>
      <c r="F44" s="1132"/>
      <c r="G44" s="1132"/>
      <c r="H44" s="1132"/>
      <c r="I44" s="1132"/>
      <c r="J44" s="1132"/>
      <c r="K44" s="1132"/>
      <c r="L44" s="1132"/>
      <c r="M44" s="1132"/>
    </row>
    <row r="45" spans="1:13" ht="18" customHeight="1">
      <c r="C45" s="503">
        <f>I7</f>
        <v>46106</v>
      </c>
      <c r="E45" s="504"/>
    </row>
    <row r="46" spans="1:13" ht="15">
      <c r="E46" s="504"/>
      <c r="G46" s="1129" t="str">
        <f>M.Menu!S16</f>
        <v>CAPT. WENDT ROBERT</v>
      </c>
      <c r="H46" s="1130"/>
      <c r="I46" s="1130"/>
      <c r="J46" s="1130"/>
      <c r="K46" s="1130"/>
      <c r="L46" s="1130"/>
      <c r="M46" s="984"/>
    </row>
    <row r="47" spans="1:13" ht="21" customHeight="1">
      <c r="A47" s="506"/>
      <c r="B47" s="507"/>
      <c r="C47" s="507"/>
      <c r="D47" s="507"/>
      <c r="E47" s="508"/>
      <c r="G47" s="1131" t="s">
        <v>39</v>
      </c>
      <c r="H47" s="1131"/>
      <c r="I47" s="1131"/>
      <c r="J47" s="1131"/>
      <c r="K47" s="1131"/>
      <c r="L47" s="1131"/>
      <c r="M47" s="985"/>
    </row>
    <row r="48" spans="1:13">
      <c r="E48" s="504"/>
    </row>
    <row r="49" spans="1:11">
      <c r="E49" s="504"/>
    </row>
    <row r="50" spans="1:11">
      <c r="E50" s="504"/>
    </row>
    <row r="51" spans="1:11">
      <c r="E51" s="504"/>
    </row>
    <row r="52" spans="1:11" s="502" customFormat="1">
      <c r="A52" s="501"/>
      <c r="E52" s="504"/>
      <c r="G52" s="505"/>
      <c r="H52" s="504"/>
      <c r="I52" s="504"/>
      <c r="J52" s="504"/>
      <c r="K52" s="504"/>
    </row>
    <row r="53" spans="1:11" s="502" customFormat="1">
      <c r="A53" s="501"/>
      <c r="E53" s="504"/>
      <c r="G53" s="505"/>
      <c r="H53" s="504"/>
      <c r="I53" s="504"/>
      <c r="J53" s="504"/>
      <c r="K53" s="504"/>
    </row>
    <row r="54" spans="1:11" s="502" customFormat="1">
      <c r="A54" s="501"/>
      <c r="E54" s="504"/>
      <c r="G54" s="505"/>
      <c r="H54" s="504"/>
      <c r="I54" s="504"/>
      <c r="J54" s="504"/>
      <c r="K54" s="504"/>
    </row>
    <row r="55" spans="1:11" s="502" customFormat="1">
      <c r="A55" s="501"/>
      <c r="E55" s="504"/>
      <c r="G55" s="505"/>
      <c r="H55" s="504"/>
      <c r="I55" s="504"/>
      <c r="J55" s="504"/>
      <c r="K55" s="504"/>
    </row>
    <row r="56" spans="1:11" s="502" customFormat="1">
      <c r="A56" s="501"/>
      <c r="E56" s="504"/>
      <c r="G56" s="505"/>
      <c r="H56" s="504"/>
      <c r="I56" s="504"/>
      <c r="J56" s="504"/>
      <c r="K56" s="504"/>
    </row>
    <row r="57" spans="1:11" s="502" customFormat="1">
      <c r="A57" s="501"/>
      <c r="E57" s="504"/>
      <c r="G57" s="505"/>
      <c r="H57" s="504"/>
      <c r="I57" s="504"/>
      <c r="J57" s="504"/>
      <c r="K57" s="504"/>
    </row>
    <row r="58" spans="1:11" s="502" customFormat="1">
      <c r="A58" s="501"/>
      <c r="E58" s="504"/>
      <c r="G58" s="505"/>
      <c r="H58" s="504"/>
      <c r="I58" s="504"/>
      <c r="J58" s="504"/>
      <c r="K58" s="504"/>
    </row>
    <row r="59" spans="1:11" s="502" customFormat="1">
      <c r="A59" s="501"/>
      <c r="E59" s="504"/>
      <c r="G59" s="505"/>
      <c r="H59" s="504"/>
      <c r="I59" s="504"/>
      <c r="J59" s="504"/>
      <c r="K59" s="504"/>
    </row>
    <row r="60" spans="1:11" s="502" customFormat="1">
      <c r="A60" s="501"/>
      <c r="E60" s="504"/>
      <c r="G60" s="505"/>
      <c r="H60" s="504"/>
      <c r="I60" s="504"/>
      <c r="J60" s="504"/>
      <c r="K60" s="504"/>
    </row>
    <row r="61" spans="1:11" s="502" customFormat="1">
      <c r="A61" s="501"/>
      <c r="E61" s="504"/>
      <c r="G61" s="505"/>
      <c r="H61" s="504"/>
      <c r="I61" s="504"/>
      <c r="J61" s="504"/>
      <c r="K61" s="504"/>
    </row>
    <row r="62" spans="1:11" s="502" customFormat="1">
      <c r="A62" s="501"/>
      <c r="E62" s="504"/>
      <c r="G62" s="505"/>
      <c r="H62" s="504"/>
      <c r="I62" s="504"/>
      <c r="J62" s="504"/>
      <c r="K62" s="504"/>
    </row>
    <row r="63" spans="1:11" s="502" customFormat="1">
      <c r="A63" s="501"/>
      <c r="E63" s="504"/>
      <c r="G63" s="505"/>
      <c r="H63" s="504"/>
      <c r="I63" s="504"/>
      <c r="J63" s="504"/>
      <c r="K63" s="504"/>
    </row>
    <row r="64" spans="1:11" s="502" customFormat="1">
      <c r="A64" s="501"/>
      <c r="E64" s="504"/>
      <c r="G64" s="505"/>
      <c r="H64" s="504"/>
      <c r="I64" s="504"/>
      <c r="J64" s="504"/>
      <c r="K64" s="504"/>
    </row>
  </sheetData>
  <sheetProtection formatRows="0"/>
  <mergeCells count="28">
    <mergeCell ref="B2:M2"/>
    <mergeCell ref="B3:M3"/>
    <mergeCell ref="L4:M4"/>
    <mergeCell ref="B5:D5"/>
    <mergeCell ref="L5:M5"/>
    <mergeCell ref="A27:A33"/>
    <mergeCell ref="B43:M43"/>
    <mergeCell ref="B11:E11"/>
    <mergeCell ref="F11:H11"/>
    <mergeCell ref="B12:B13"/>
    <mergeCell ref="C12:C13"/>
    <mergeCell ref="D12:D13"/>
    <mergeCell ref="E12:E13"/>
    <mergeCell ref="F12:F13"/>
    <mergeCell ref="G12:G13"/>
    <mergeCell ref="H12:H13"/>
    <mergeCell ref="A6:A26"/>
    <mergeCell ref="D6:E6"/>
    <mergeCell ref="I6:M6"/>
    <mergeCell ref="F7:H8"/>
    <mergeCell ref="I7:M11"/>
    <mergeCell ref="B44:M44"/>
    <mergeCell ref="G46:L46"/>
    <mergeCell ref="G47:L47"/>
    <mergeCell ref="J12:J13"/>
    <mergeCell ref="K12:K13"/>
    <mergeCell ref="L12:L13"/>
    <mergeCell ref="M12:M13"/>
  </mergeCells>
  <conditionalFormatting sqref="B14:M42">
    <cfRule type="cellIs" dxfId="160" priority="1" stopIfTrue="1" operator="lessThanOrEqual">
      <formula>$S$7</formula>
    </cfRule>
  </conditionalFormatting>
  <printOptions horizontalCentered="1"/>
  <pageMargins left="0.23622047244094491" right="0.23622047244094491" top="0.55118110236220474" bottom="0.55118110236220474" header="0.31496062992125984" footer="0.31496062992125984"/>
  <pageSetup paperSize="9" scale="5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8000"/>
    <pageSetUpPr fitToPage="1"/>
  </sheetPr>
  <dimension ref="A1:U61"/>
  <sheetViews>
    <sheetView showGridLines="0" showZeros="0" view="pageBreakPreview" topLeftCell="A4" zoomScale="70" zoomScaleNormal="70" zoomScaleSheetLayoutView="70" workbookViewId="0">
      <selection activeCell="H46" sqref="H46:M46"/>
    </sheetView>
  </sheetViews>
  <sheetFormatPr defaultColWidth="9.140625" defaultRowHeight="12.75"/>
  <cols>
    <col min="1" max="1" width="4.140625" style="501" customWidth="1"/>
    <col min="2" max="2" width="3.7109375" style="501" customWidth="1"/>
    <col min="3" max="3" width="6" style="502" customWidth="1"/>
    <col min="4" max="4" width="26.5703125" style="502" customWidth="1"/>
    <col min="5" max="5" width="34.140625" style="502" customWidth="1"/>
    <col min="6" max="6" width="11.42578125" style="502" customWidth="1"/>
    <col min="7" max="7" width="16.42578125" style="502" customWidth="1"/>
    <col min="8" max="8" width="13.28515625" style="505" bestFit="1" customWidth="1"/>
    <col min="9" max="9" width="16.28515625" style="504" customWidth="1"/>
    <col min="10" max="10" width="4.7109375" style="504" hidden="1" customWidth="1"/>
    <col min="11" max="11" width="8.42578125" style="504" customWidth="1"/>
    <col min="12" max="12" width="12.7109375" style="504" customWidth="1"/>
    <col min="13" max="14" width="15.7109375" style="502" customWidth="1"/>
    <col min="15" max="15" width="14.28515625" style="502" customWidth="1"/>
    <col min="16" max="16" width="9.140625" style="501" customWidth="1"/>
    <col min="17" max="16384" width="9.140625" style="501"/>
  </cols>
  <sheetData>
    <row r="1" spans="1:21" s="460" customFormat="1" ht="27" customHeight="1">
      <c r="A1" s="460" t="s">
        <v>143</v>
      </c>
      <c r="B1" s="460" t="s">
        <v>143</v>
      </c>
      <c r="C1" s="461"/>
      <c r="D1" s="461"/>
      <c r="E1" s="461"/>
      <c r="F1" s="461"/>
      <c r="G1" s="461"/>
      <c r="H1" s="462"/>
      <c r="I1" s="463"/>
      <c r="J1" s="463"/>
      <c r="K1" s="463"/>
      <c r="L1" s="463"/>
      <c r="M1" s="461"/>
      <c r="N1" s="461"/>
      <c r="O1" s="461"/>
    </row>
    <row r="2" spans="1:21" s="460" customFormat="1" ht="27" customHeight="1">
      <c r="B2" s="1147" t="s">
        <v>364</v>
      </c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540"/>
      <c r="O2" s="540"/>
    </row>
    <row r="3" spans="1:21" s="460" customFormat="1" ht="14.25" customHeight="1" thickBot="1">
      <c r="C3" s="461"/>
      <c r="D3" s="461"/>
      <c r="E3" s="461"/>
      <c r="F3" s="1148" t="s">
        <v>257</v>
      </c>
      <c r="G3" s="1148"/>
      <c r="H3" s="1148"/>
      <c r="I3" s="463"/>
      <c r="J3" s="463"/>
      <c r="K3" s="463"/>
      <c r="L3" s="463"/>
      <c r="M3" s="461"/>
      <c r="N3" s="461"/>
      <c r="O3" s="461"/>
    </row>
    <row r="4" spans="1:21" s="468" customFormat="1" ht="13.5" customHeight="1">
      <c r="C4" s="509"/>
      <c r="D4" s="509"/>
      <c r="E4" s="509"/>
      <c r="F4" s="509"/>
      <c r="G4" s="509"/>
      <c r="H4" s="510"/>
      <c r="I4" s="511"/>
      <c r="J4" s="467"/>
      <c r="K4" s="467"/>
      <c r="L4" s="467"/>
      <c r="M4" s="1149" t="s">
        <v>181</v>
      </c>
      <c r="N4" s="1150"/>
      <c r="O4" s="1151"/>
    </row>
    <row r="5" spans="1:21" s="468" customFormat="1" ht="18.75" customHeight="1" thickBot="1">
      <c r="C5" s="1152"/>
      <c r="D5" s="1152"/>
      <c r="E5" s="1152"/>
      <c r="F5" s="512"/>
      <c r="G5" s="513" t="s">
        <v>87</v>
      </c>
      <c r="H5" s="514"/>
      <c r="I5" s="513"/>
      <c r="J5" s="465"/>
      <c r="K5" s="465"/>
      <c r="L5" s="465"/>
      <c r="M5" s="1153" t="s">
        <v>73</v>
      </c>
      <c r="N5" s="1154"/>
      <c r="O5" s="1155"/>
    </row>
    <row r="6" spans="1:21" s="473" customFormat="1" ht="18" customHeight="1" thickBot="1">
      <c r="B6" s="1168"/>
      <c r="C6" s="469" t="s">
        <v>238</v>
      </c>
      <c r="D6" s="470"/>
      <c r="E6" s="1107" t="str">
        <f>M.Menu!E3</f>
        <v>Energy Endurance</v>
      </c>
      <c r="F6" s="1169"/>
      <c r="G6" s="515" t="s">
        <v>264</v>
      </c>
      <c r="H6" s="471"/>
      <c r="I6" s="472"/>
      <c r="J6" s="1118" t="s">
        <v>286</v>
      </c>
      <c r="K6" s="1119"/>
      <c r="L6" s="1119"/>
      <c r="M6" s="1119"/>
      <c r="N6" s="1119"/>
      <c r="O6" s="1120"/>
    </row>
    <row r="7" spans="1:21" s="473" customFormat="1" ht="18" customHeight="1">
      <c r="B7" s="1168"/>
      <c r="C7" s="474" t="s">
        <v>250</v>
      </c>
      <c r="D7" s="475"/>
      <c r="E7" s="476">
        <f>M.Menu!L3</f>
        <v>9948695</v>
      </c>
      <c r="F7" s="516"/>
      <c r="G7" s="1108" t="str">
        <f>M.Menu!L11&amp;"."&amp;M.Menu!L12</f>
        <v>Sabine Pass.U.S.A.</v>
      </c>
      <c r="H7" s="1109"/>
      <c r="I7" s="1110"/>
      <c r="J7" s="1096">
        <f>M.Menu!L14</f>
        <v>0</v>
      </c>
      <c r="K7" s="1097"/>
      <c r="L7" s="1097"/>
      <c r="M7" s="1097"/>
      <c r="N7" s="1097"/>
      <c r="O7" s="1098"/>
    </row>
    <row r="8" spans="1:21" s="473" customFormat="1" ht="18" customHeight="1">
      <c r="B8" s="1168"/>
      <c r="C8" s="474" t="s">
        <v>81</v>
      </c>
      <c r="D8" s="475"/>
      <c r="E8" s="478" t="str">
        <f>M.Menu!E4</f>
        <v>V7A7282</v>
      </c>
      <c r="F8" s="516"/>
      <c r="G8" s="1108" t="str">
        <f>M.Menu!E8&amp;", "&amp;M.Menu!E9</f>
        <v xml:space="preserve">NFE Transport Partners LLC, </v>
      </c>
      <c r="H8" s="1109"/>
      <c r="I8" s="1110"/>
      <c r="J8" s="1099"/>
      <c r="K8" s="1100"/>
      <c r="L8" s="1100"/>
      <c r="M8" s="1100"/>
      <c r="N8" s="1100"/>
      <c r="O8" s="1101"/>
    </row>
    <row r="9" spans="1:21" s="473" customFormat="1" ht="18" customHeight="1" thickBot="1">
      <c r="B9" s="1168"/>
      <c r="C9" s="479" t="s">
        <v>266</v>
      </c>
      <c r="D9" s="517"/>
      <c r="E9" s="518" t="str">
        <f>M.Menu!S14</f>
        <v>VOY15</v>
      </c>
      <c r="F9" s="519"/>
      <c r="G9" s="483"/>
      <c r="H9" s="520"/>
      <c r="I9" s="521"/>
      <c r="J9" s="1099"/>
      <c r="K9" s="1100"/>
      <c r="L9" s="1100"/>
      <c r="M9" s="1100"/>
      <c r="N9" s="1100"/>
      <c r="O9" s="1101"/>
    </row>
    <row r="10" spans="1:21" s="468" customFormat="1" ht="18" customHeight="1">
      <c r="B10" s="1168"/>
      <c r="C10" s="486" t="s">
        <v>84</v>
      </c>
      <c r="D10" s="487"/>
      <c r="E10" s="488"/>
      <c r="F10" s="522"/>
      <c r="G10" s="486" t="s">
        <v>476</v>
      </c>
      <c r="H10" s="490"/>
      <c r="I10" s="537"/>
      <c r="J10" s="1099"/>
      <c r="K10" s="1100"/>
      <c r="L10" s="1100"/>
      <c r="M10" s="1100"/>
      <c r="N10" s="1100"/>
      <c r="O10" s="1101"/>
    </row>
    <row r="11" spans="1:21" s="491" customFormat="1" ht="18" customHeight="1" thickBot="1">
      <c r="B11" s="1168"/>
      <c r="C11" s="1134" t="str">
        <f>M.Menu!L8</f>
        <v>Marshall Islands</v>
      </c>
      <c r="D11" s="1157"/>
      <c r="E11" s="1157"/>
      <c r="F11" s="1170"/>
      <c r="G11" s="1136" t="str">
        <f>M.Menu!S11&amp;"."&amp;M.Menu!S12</f>
        <v>BARCARENA.BRAZIL</v>
      </c>
      <c r="H11" s="1163"/>
      <c r="I11" s="1164"/>
      <c r="J11" s="1102"/>
      <c r="K11" s="1145"/>
      <c r="L11" s="1145"/>
      <c r="M11" s="1145"/>
      <c r="N11" s="1145"/>
      <c r="O11" s="1146"/>
    </row>
    <row r="12" spans="1:21" s="493" customFormat="1" ht="17.100000000000001" customHeight="1" thickBot="1">
      <c r="B12" s="1168"/>
      <c r="C12" s="1165" t="s">
        <v>241</v>
      </c>
      <c r="D12" s="1165" t="s">
        <v>242</v>
      </c>
      <c r="E12" s="1165" t="s">
        <v>243</v>
      </c>
      <c r="F12" s="1143" t="s">
        <v>361</v>
      </c>
      <c r="G12" s="1165" t="s">
        <v>86</v>
      </c>
      <c r="H12" s="1166" t="s">
        <v>240</v>
      </c>
      <c r="I12" s="1166" t="s">
        <v>239</v>
      </c>
      <c r="J12" s="541"/>
      <c r="K12" s="1160" t="s">
        <v>244</v>
      </c>
      <c r="L12" s="1161" t="s">
        <v>252</v>
      </c>
      <c r="M12" s="1161" t="s">
        <v>253</v>
      </c>
      <c r="N12" s="1161" t="s">
        <v>254</v>
      </c>
      <c r="O12" s="1161" t="s">
        <v>255</v>
      </c>
    </row>
    <row r="13" spans="1:21" s="493" customFormat="1" ht="17.100000000000001" customHeight="1" thickBot="1">
      <c r="B13" s="1168"/>
      <c r="C13" s="1165"/>
      <c r="D13" s="1165"/>
      <c r="E13" s="1165"/>
      <c r="F13" s="1144"/>
      <c r="G13" s="1165"/>
      <c r="H13" s="1166"/>
      <c r="I13" s="1166"/>
      <c r="J13" s="523"/>
      <c r="K13" s="1160"/>
      <c r="L13" s="1161"/>
      <c r="M13" s="1161"/>
      <c r="N13" s="1161"/>
      <c r="O13" s="1161"/>
    </row>
    <row r="14" spans="1:21" s="495" customFormat="1" ht="39" customHeight="1" thickBot="1">
      <c r="B14" s="1168"/>
      <c r="C14" s="640">
        <f>'DataBase (IMO form)'!B8</f>
        <v>1</v>
      </c>
      <c r="D14" s="659" t="str">
        <f>'DataBase (IMO form)'!D8</f>
        <v xml:space="preserve">WENDT </v>
      </c>
      <c r="E14" s="659" t="str">
        <f>'DataBase (IMO form)'!E8</f>
        <v>ROBERT KRZYSZTOF</v>
      </c>
      <c r="F14" s="660" t="str">
        <f>'DataBase (IMO form)'!C8</f>
        <v>MASTER</v>
      </c>
      <c r="G14" s="661" t="str">
        <f>'DataBase (IMO form)'!L8</f>
        <v>POLISH</v>
      </c>
      <c r="H14" s="643">
        <f>'DataBase (IMO form)'!I8</f>
        <v>31616</v>
      </c>
      <c r="I14" s="644" t="str">
        <f>'DataBase (IMO form)'!K8</f>
        <v>GDANSK</v>
      </c>
      <c r="J14" s="645" t="e">
        <f>'DataBase (IMO form)'!#REF!</f>
        <v>#REF!</v>
      </c>
      <c r="K14" s="644" t="str">
        <f>'DataBase (IMO form)'!H8</f>
        <v>M</v>
      </c>
      <c r="L14" s="644" t="s">
        <v>256</v>
      </c>
      <c r="M14" s="662" t="str">
        <f>'DataBase (IMO form)'!W8</f>
        <v>EK 0855330</v>
      </c>
      <c r="N14" s="646" t="str">
        <f>'DataBase (IMO form)'!Y8</f>
        <v>WOJEWODA, POMORSKI</v>
      </c>
      <c r="O14" s="647">
        <f>'DataBase (IMO form)'!X8</f>
        <v>46330</v>
      </c>
      <c r="S14" s="1167"/>
      <c r="T14" s="1167"/>
      <c r="U14" s="1167"/>
    </row>
    <row r="15" spans="1:21" s="495" customFormat="1" ht="39" customHeight="1" thickBot="1">
      <c r="B15" s="1168"/>
      <c r="C15" s="640">
        <f>'DataBase (IMO form)'!B9</f>
        <v>2</v>
      </c>
      <c r="D15" s="659" t="str">
        <f>'DataBase (IMO form)'!D9</f>
        <v>THANASIS</v>
      </c>
      <c r="E15" s="659" t="str">
        <f>'DataBase (IMO form)'!E9</f>
        <v>EVANGELOS</v>
      </c>
      <c r="F15" s="660" t="str">
        <f>'DataBase (IMO form)'!C9</f>
        <v>CHIEF OFF</v>
      </c>
      <c r="G15" s="661" t="str">
        <f>'DataBase (IMO form)'!L9</f>
        <v>HELLENIC</v>
      </c>
      <c r="H15" s="643">
        <f>'DataBase (IMO form)'!I9</f>
        <v>34373</v>
      </c>
      <c r="I15" s="644" t="str">
        <f>'DataBase (IMO form)'!K9</f>
        <v>KERKYRA</v>
      </c>
      <c r="J15" s="645" t="e">
        <f>'DataBase (IMO form)'!#REF!</f>
        <v>#REF!</v>
      </c>
      <c r="K15" s="644" t="str">
        <f>'DataBase (IMO form)'!H9</f>
        <v>M</v>
      </c>
      <c r="L15" s="644" t="s">
        <v>256</v>
      </c>
      <c r="M15" s="662" t="str">
        <f>'DataBase (IMO form)'!W9</f>
        <v>BA8948788</v>
      </c>
      <c r="N15" s="646" t="str">
        <f>'DataBase (IMO form)'!Y9</f>
        <v>KERKYRA</v>
      </c>
      <c r="O15" s="647">
        <f>'DataBase (IMO form)'!X9</f>
        <v>49542</v>
      </c>
    </row>
    <row r="16" spans="1:21" s="495" customFormat="1" ht="39" customHeight="1" thickBot="1">
      <c r="B16" s="1168"/>
      <c r="C16" s="640">
        <f>'DataBase (IMO form)'!B11</f>
        <v>4</v>
      </c>
      <c r="D16" s="659" t="str">
        <f>'DataBase (IMO form)'!D11</f>
        <v>BUTS</v>
      </c>
      <c r="E16" s="659" t="str">
        <f>'DataBase (IMO form)'!E11</f>
        <v>KOSTIANTYN</v>
      </c>
      <c r="F16" s="660" t="str">
        <f>'DataBase (IMO form)'!C11</f>
        <v>2ND OFF</v>
      </c>
      <c r="G16" s="661" t="str">
        <f>'DataBase (IMO form)'!L11</f>
        <v>UKRAINIAN</v>
      </c>
      <c r="H16" s="643">
        <f>'DataBase (IMO form)'!I11</f>
        <v>31971</v>
      </c>
      <c r="I16" s="644" t="str">
        <f>'DataBase (IMO form)'!K11</f>
        <v>UKRAINE</v>
      </c>
      <c r="J16" s="645" t="e">
        <f>'DataBase (IMO form)'!#REF!</f>
        <v>#REF!</v>
      </c>
      <c r="K16" s="644" t="str">
        <f>'DataBase (IMO form)'!H11</f>
        <v>M</v>
      </c>
      <c r="L16" s="644" t="s">
        <v>256</v>
      </c>
      <c r="M16" s="662" t="str">
        <f>'DataBase (IMO form)'!W11</f>
        <v>GL504758</v>
      </c>
      <c r="N16" s="646" t="str">
        <f>'DataBase (IMO form)'!Y11</f>
        <v>2110</v>
      </c>
      <c r="O16" s="647">
        <f>'DataBase (IMO form)'!X11</f>
        <v>49422</v>
      </c>
    </row>
    <row r="17" spans="2:20" s="495" customFormat="1" ht="39" customHeight="1" thickBot="1">
      <c r="B17" s="1168"/>
      <c r="C17" s="640">
        <f>'DataBase (IMO form)'!B12</f>
        <v>5</v>
      </c>
      <c r="D17" s="659" t="str">
        <f>'DataBase (IMO form)'!D12</f>
        <v xml:space="preserve">STAMATIOU </v>
      </c>
      <c r="E17" s="659" t="str">
        <f>'DataBase (IMO form)'!E12</f>
        <v>VASILEIOS</v>
      </c>
      <c r="F17" s="660" t="str">
        <f>'DataBase (IMO form)'!C12</f>
        <v>3RD OFF</v>
      </c>
      <c r="G17" s="661" t="str">
        <f>'DataBase (IMO form)'!L12</f>
        <v>HELLENIC</v>
      </c>
      <c r="H17" s="643">
        <f>'DataBase (IMO form)'!I12</f>
        <v>37225</v>
      </c>
      <c r="I17" s="644" t="str">
        <f>'DataBase (IMO form)'!K12</f>
        <v>MAROUSI</v>
      </c>
      <c r="J17" s="645" t="e">
        <f>'DataBase (IMO form)'!#REF!</f>
        <v>#REF!</v>
      </c>
      <c r="K17" s="644" t="str">
        <f>'DataBase (IMO form)'!H12</f>
        <v>M</v>
      </c>
      <c r="L17" s="644" t="s">
        <v>256</v>
      </c>
      <c r="M17" s="662" t="str">
        <f>'DataBase (IMO form)'!W12</f>
        <v>AY1388281</v>
      </c>
      <c r="N17" s="646" t="str">
        <f>'DataBase (IMO form)'!Y12</f>
        <v>N.P.C.</v>
      </c>
      <c r="O17" s="647">
        <f>'DataBase (IMO form)'!X12</f>
        <v>48562</v>
      </c>
    </row>
    <row r="18" spans="2:20" s="495" customFormat="1" ht="39" customHeight="1" thickBot="1">
      <c r="B18" s="1168"/>
      <c r="C18" s="640">
        <f>'DataBase (IMO form)'!B13</f>
        <v>6</v>
      </c>
      <c r="D18" s="659" t="str">
        <f>'DataBase (IMO form)'!D13</f>
        <v>KOUIMOV</v>
      </c>
      <c r="E18" s="659" t="str">
        <f>'DataBase (IMO form)'!E13</f>
        <v>ENTOUARNT OR EDUARD</v>
      </c>
      <c r="F18" s="660" t="str">
        <f>'DataBase (IMO form)'!C13</f>
        <v xml:space="preserve">3RD OFF </v>
      </c>
      <c r="G18" s="661" t="str">
        <f>'DataBase (IMO form)'!L13</f>
        <v>HELLENIC</v>
      </c>
      <c r="H18" s="643">
        <f>'DataBase (IMO form)'!I13</f>
        <v>36547</v>
      </c>
      <c r="I18" s="644" t="str">
        <f>'DataBase (IMO form)'!K13</f>
        <v>NAKHODKA</v>
      </c>
      <c r="J18" s="645" t="e">
        <f>'DataBase (IMO form)'!#REF!</f>
        <v>#REF!</v>
      </c>
      <c r="K18" s="644" t="str">
        <f>'DataBase (IMO form)'!H13</f>
        <v>M</v>
      </c>
      <c r="L18" s="644" t="s">
        <v>256</v>
      </c>
      <c r="M18" s="662" t="str">
        <f>'DataBase (IMO form)'!W13</f>
        <v>AY4667152</v>
      </c>
      <c r="N18" s="646" t="str">
        <f>'DataBase (IMO form)'!Y13</f>
        <v>N.P.C.</v>
      </c>
      <c r="O18" s="647">
        <f>'DataBase (IMO form)'!X13</f>
        <v>48777</v>
      </c>
    </row>
    <row r="19" spans="2:20" s="495" customFormat="1" ht="39" customHeight="1" thickBot="1">
      <c r="B19" s="1168"/>
      <c r="C19" s="640">
        <f>'DataBase (IMO form)'!B14</f>
        <v>7</v>
      </c>
      <c r="D19" s="659" t="str">
        <f>'DataBase (IMO form)'!D14</f>
        <v>CHATZIDIMITRIOU</v>
      </c>
      <c r="E19" s="659" t="str">
        <f>'DataBase (IMO form)'!E14</f>
        <v>MARIA</v>
      </c>
      <c r="F19" s="660" t="str">
        <f>'DataBase (IMO form)'!C14</f>
        <v>DECK CADET</v>
      </c>
      <c r="G19" s="661" t="str">
        <f>'DataBase (IMO form)'!L14</f>
        <v>HELLENIC</v>
      </c>
      <c r="H19" s="643">
        <f>'DataBase (IMO form)'!I14</f>
        <v>37644</v>
      </c>
      <c r="I19" s="644" t="str">
        <f>'DataBase (IMO form)'!K14</f>
        <v>THESSALONIKI</v>
      </c>
      <c r="J19" s="645" t="e">
        <f>'DataBase (IMO form)'!#REF!</f>
        <v>#REF!</v>
      </c>
      <c r="K19" s="644" t="str">
        <f>'DataBase (IMO form)'!H14</f>
        <v>F</v>
      </c>
      <c r="L19" s="644" t="s">
        <v>256</v>
      </c>
      <c r="M19" s="662" t="str">
        <f>'DataBase (IMO form)'!W14</f>
        <v>AT5546138</v>
      </c>
      <c r="N19" s="646" t="str">
        <f>'DataBase (IMO form)'!Y14</f>
        <v>N.P.C.</v>
      </c>
      <c r="O19" s="647">
        <f>'DataBase (IMO form)'!X14</f>
        <v>46511</v>
      </c>
      <c r="T19" s="495">
        <v>1</v>
      </c>
    </row>
    <row r="20" spans="2:20" s="495" customFormat="1" ht="39" customHeight="1" thickBot="1">
      <c r="B20" s="1168"/>
      <c r="C20" s="640">
        <f>'DataBase (IMO form)'!B15</f>
        <v>8</v>
      </c>
      <c r="D20" s="659" t="str">
        <f>'DataBase (IMO form)'!D15</f>
        <v xml:space="preserve">PETROPOULOS </v>
      </c>
      <c r="E20" s="659" t="str">
        <f>'DataBase (IMO form)'!E15</f>
        <v>CHRISTOS</v>
      </c>
      <c r="F20" s="660" t="str">
        <f>'DataBase (IMO form)'!C15</f>
        <v>CHIEF ENG</v>
      </c>
      <c r="G20" s="661" t="str">
        <f>'DataBase (IMO form)'!L15</f>
        <v>HELLENIC</v>
      </c>
      <c r="H20" s="643">
        <f>'DataBase (IMO form)'!I15</f>
        <v>24483</v>
      </c>
      <c r="I20" s="644" t="str">
        <f>'DataBase (IMO form)'!K15</f>
        <v>KOZANI</v>
      </c>
      <c r="J20" s="645" t="e">
        <f>'DataBase (IMO form)'!#REF!</f>
        <v>#REF!</v>
      </c>
      <c r="K20" s="644" t="str">
        <f>'DataBase (IMO form)'!H15</f>
        <v>M</v>
      </c>
      <c r="L20" s="644" t="s">
        <v>256</v>
      </c>
      <c r="M20" s="662" t="str">
        <f>'DataBase (IMO form)'!W15</f>
        <v>BA2822002</v>
      </c>
      <c r="N20" s="646" t="str">
        <f>'DataBase (IMO form)'!Y15</f>
        <v>H.P.H./P.S.D.D.</v>
      </c>
      <c r="O20" s="647">
        <f>'DataBase (IMO form)'!X15</f>
        <v>49133</v>
      </c>
    </row>
    <row r="21" spans="2:20" s="495" customFormat="1" ht="39" customHeight="1" thickBot="1">
      <c r="B21" s="1168"/>
      <c r="C21" s="640">
        <f>'DataBase (IMO form)'!B16</f>
        <v>9</v>
      </c>
      <c r="D21" s="659" t="str">
        <f>'DataBase (IMO form)'!D16</f>
        <v>SYTNYK</v>
      </c>
      <c r="E21" s="659" t="str">
        <f>'DataBase (IMO form)'!E16</f>
        <v xml:space="preserve">YEVGENIY </v>
      </c>
      <c r="F21" s="660" t="str">
        <f>'DataBase (IMO form)'!C16</f>
        <v>2ND ENG</v>
      </c>
      <c r="G21" s="661" t="str">
        <f>'DataBase (IMO form)'!L16</f>
        <v xml:space="preserve">UKRAINIAN </v>
      </c>
      <c r="H21" s="643">
        <f>'DataBase (IMO form)'!I16</f>
        <v>32852</v>
      </c>
      <c r="I21" s="644" t="str">
        <f>'DataBase (IMO form)'!K16</f>
        <v>ODESSA</v>
      </c>
      <c r="J21" s="645" t="e">
        <f>'DataBase (IMO form)'!#REF!</f>
        <v>#REF!</v>
      </c>
      <c r="K21" s="644" t="str">
        <f>'DataBase (IMO form)'!H16</f>
        <v>M</v>
      </c>
      <c r="L21" s="644" t="s">
        <v>256</v>
      </c>
      <c r="M21" s="662" t="str">
        <f>'DataBase (IMO form)'!W16</f>
        <v>GD461450</v>
      </c>
      <c r="N21" s="646" t="str">
        <f>'DataBase (IMO form)'!Y16</f>
        <v>5116</v>
      </c>
      <c r="O21" s="647">
        <f>'DataBase (IMO form)'!X16</f>
        <v>48424</v>
      </c>
    </row>
    <row r="22" spans="2:20" s="495" customFormat="1" ht="39" customHeight="1" thickBot="1">
      <c r="B22" s="1168"/>
      <c r="C22" s="640">
        <f>'DataBase (IMO form)'!B17</f>
        <v>10</v>
      </c>
      <c r="D22" s="659" t="str">
        <f>'DataBase (IMO form)'!D17</f>
        <v>KACHUR</v>
      </c>
      <c r="E22" s="659" t="str">
        <f>'DataBase (IMO form)'!E17</f>
        <v>MYKOLA</v>
      </c>
      <c r="F22" s="660" t="str">
        <f>'DataBase (IMO form)'!C17</f>
        <v>3RD ENG</v>
      </c>
      <c r="G22" s="661" t="str">
        <f>'DataBase (IMO form)'!L17</f>
        <v>UKRAINIAN</v>
      </c>
      <c r="H22" s="643">
        <f>'DataBase (IMO form)'!I17</f>
        <v>35418</v>
      </c>
      <c r="I22" s="644" t="str">
        <f>'DataBase (IMO form)'!K17</f>
        <v>UKRAINE</v>
      </c>
      <c r="J22" s="645" t="e">
        <f>'DataBase (IMO form)'!#REF!</f>
        <v>#REF!</v>
      </c>
      <c r="K22" s="644" t="str">
        <f>'DataBase (IMO form)'!H17</f>
        <v>M</v>
      </c>
      <c r="L22" s="644" t="s">
        <v>256</v>
      </c>
      <c r="M22" s="662" t="str">
        <f>'DataBase (IMO form)'!W17</f>
        <v>FS151214</v>
      </c>
      <c r="N22" s="646" t="str">
        <f>'DataBase (IMO form)'!Y17</f>
        <v>6512</v>
      </c>
      <c r="O22" s="647">
        <f>'DataBase (IMO form)'!X17</f>
        <v>46978</v>
      </c>
    </row>
    <row r="23" spans="2:20" s="495" customFormat="1" ht="39" customHeight="1" thickBot="1">
      <c r="B23" s="1168"/>
      <c r="C23" s="640">
        <f>'DataBase (IMO form)'!B18</f>
        <v>11</v>
      </c>
      <c r="D23" s="659" t="e">
        <f>'DataBase (IMO form)'!#REF!</f>
        <v>#REF!</v>
      </c>
      <c r="E23" s="659" t="e">
        <f>'DataBase (IMO form)'!#REF!</f>
        <v>#REF!</v>
      </c>
      <c r="F23" s="660" t="str">
        <f>'DataBase (IMO form)'!C18</f>
        <v>3RD ENG</v>
      </c>
      <c r="G23" s="661" t="e">
        <f>'DataBase (IMO form)'!#REF!</f>
        <v>#REF!</v>
      </c>
      <c r="H23" s="643" t="e">
        <f>'DataBase (IMO form)'!#REF!</f>
        <v>#REF!</v>
      </c>
      <c r="I23" s="644" t="e">
        <f>'DataBase (IMO form)'!#REF!</f>
        <v>#REF!</v>
      </c>
      <c r="J23" s="645" t="e">
        <f>'DataBase (IMO form)'!#REF!</f>
        <v>#REF!</v>
      </c>
      <c r="K23" s="644" t="e">
        <f>'DataBase (IMO form)'!#REF!</f>
        <v>#REF!</v>
      </c>
      <c r="L23" s="644" t="s">
        <v>256</v>
      </c>
      <c r="M23" s="662" t="e">
        <f>'DataBase (IMO form)'!#REF!</f>
        <v>#REF!</v>
      </c>
      <c r="N23" s="646" t="e">
        <f>'DataBase (IMO form)'!#REF!</f>
        <v>#REF!</v>
      </c>
      <c r="O23" s="647" t="e">
        <f>'DataBase (IMO form)'!#REF!</f>
        <v>#REF!</v>
      </c>
      <c r="P23" s="497"/>
    </row>
    <row r="24" spans="2:20" s="497" customFormat="1" ht="39" customHeight="1" thickBot="1">
      <c r="B24" s="1168"/>
      <c r="C24" s="640" t="e">
        <f>'DataBase (IMO form)'!#REF!</f>
        <v>#REF!</v>
      </c>
      <c r="D24" s="659" t="e">
        <f>'DataBase (IMO form)'!#REF!</f>
        <v>#REF!</v>
      </c>
      <c r="E24" s="659" t="e">
        <f>'DataBase (IMO form)'!#REF!</f>
        <v>#REF!</v>
      </c>
      <c r="F24" s="660" t="e">
        <f>'DataBase (IMO form)'!#REF!</f>
        <v>#REF!</v>
      </c>
      <c r="G24" s="661" t="e">
        <f>'DataBase (IMO form)'!#REF!</f>
        <v>#REF!</v>
      </c>
      <c r="H24" s="643" t="e">
        <f>'DataBase (IMO form)'!#REF!</f>
        <v>#REF!</v>
      </c>
      <c r="I24" s="644" t="e">
        <f>'DataBase (IMO form)'!#REF!</f>
        <v>#REF!</v>
      </c>
      <c r="J24" s="645" t="e">
        <f>'DataBase (IMO form)'!#REF!</f>
        <v>#REF!</v>
      </c>
      <c r="K24" s="644" t="e">
        <f>'DataBase (IMO form)'!#REF!</f>
        <v>#REF!</v>
      </c>
      <c r="L24" s="644" t="s">
        <v>256</v>
      </c>
      <c r="M24" s="662" t="e">
        <f>'DataBase (IMO form)'!#REF!</f>
        <v>#REF!</v>
      </c>
      <c r="N24" s="646" t="e">
        <f>'DataBase (IMO form)'!#REF!</f>
        <v>#REF!</v>
      </c>
      <c r="O24" s="647" t="e">
        <f>'DataBase (IMO form)'!#REF!</f>
        <v>#REF!</v>
      </c>
    </row>
    <row r="25" spans="2:20" s="497" customFormat="1" ht="39" customHeight="1" thickBot="1">
      <c r="B25" s="1168"/>
      <c r="C25" s="640">
        <f>'DataBase (IMO form)'!B20</f>
        <v>13</v>
      </c>
      <c r="D25" s="659" t="str">
        <f>'DataBase (IMO form)'!D20</f>
        <v>YEMELIANOV</v>
      </c>
      <c r="E25" s="659" t="str">
        <f>'DataBase (IMO form)'!E20</f>
        <v>RICHARD</v>
      </c>
      <c r="F25" s="660" t="str">
        <f>'DataBase (IMO form)'!C20</f>
        <v xml:space="preserve">GAS ENG </v>
      </c>
      <c r="G25" s="661" t="str">
        <f>'DataBase (IMO form)'!L20</f>
        <v>UKRAINIAN</v>
      </c>
      <c r="H25" s="643">
        <f>'DataBase (IMO form)'!I20</f>
        <v>32955</v>
      </c>
      <c r="I25" s="644" t="str">
        <f>'DataBase (IMO form)'!K20</f>
        <v>UKRAINE</v>
      </c>
      <c r="J25" s="645" t="e">
        <f>'DataBase (IMO form)'!#REF!</f>
        <v>#REF!</v>
      </c>
      <c r="K25" s="644" t="str">
        <f>'DataBase (IMO form)'!H20</f>
        <v>M</v>
      </c>
      <c r="L25" s="644" t="s">
        <v>256</v>
      </c>
      <c r="M25" s="662" t="str">
        <f>'DataBase (IMO form)'!W20</f>
        <v>FJ899634</v>
      </c>
      <c r="N25" s="646" t="str">
        <f>'DataBase (IMO form)'!Y20</f>
        <v>5101</v>
      </c>
      <c r="O25" s="647">
        <f>'DataBase (IMO form)'!X20</f>
        <v>46699</v>
      </c>
    </row>
    <row r="26" spans="2:20" s="497" customFormat="1" ht="39" customHeight="1" thickBot="1">
      <c r="B26" s="1162"/>
      <c r="C26" s="640">
        <f>'DataBase (IMO form)'!B21</f>
        <v>14</v>
      </c>
      <c r="D26" s="659" t="str">
        <f>'DataBase (IMO form)'!D21</f>
        <v>GIDEI</v>
      </c>
      <c r="E26" s="659" t="str">
        <f>'DataBase (IMO form)'!E21</f>
        <v>NICOLAE</v>
      </c>
      <c r="F26" s="660" t="str">
        <f>'DataBase (IMO form)'!C21</f>
        <v>SETO</v>
      </c>
      <c r="G26" s="661" t="str">
        <f>'DataBase (IMO form)'!L21</f>
        <v>ROMANIAN</v>
      </c>
      <c r="H26" s="643">
        <f>'DataBase (IMO form)'!I21</f>
        <v>27720</v>
      </c>
      <c r="I26" s="644" t="str">
        <f>'DataBase (IMO form)'!K21</f>
        <v>GALATI</v>
      </c>
      <c r="J26" s="645" t="e">
        <f>'DataBase (IMO form)'!#REF!</f>
        <v>#REF!</v>
      </c>
      <c r="K26" s="644" t="str">
        <f>'DataBase (IMO form)'!H21</f>
        <v>M</v>
      </c>
      <c r="L26" s="644" t="s">
        <v>256</v>
      </c>
      <c r="M26" s="662" t="str">
        <f>'DataBase (IMO form)'!W21</f>
        <v>056799980</v>
      </c>
      <c r="N26" s="646" t="str">
        <f>'DataBase (IMO form)'!Y21</f>
        <v>GALATI</v>
      </c>
      <c r="O26" s="647">
        <f>'DataBase (IMO form)'!X21</f>
        <v>47104</v>
      </c>
    </row>
    <row r="27" spans="2:20" s="497" customFormat="1" ht="39" customHeight="1" thickBot="1">
      <c r="B27" s="1162"/>
      <c r="C27" s="640" t="e">
        <f>'DataBase (IMO form)'!#REF!</f>
        <v>#REF!</v>
      </c>
      <c r="D27" s="659" t="str">
        <f>'DataBase (IMO form)'!D18</f>
        <v>COLEASA</v>
      </c>
      <c r="E27" s="659" t="str">
        <f>'DataBase (IMO form)'!E18</f>
        <v>STEFAN  CIPRIAN</v>
      </c>
      <c r="F27" s="660" t="e">
        <f>'DataBase (IMO form)'!#REF!</f>
        <v>#REF!</v>
      </c>
      <c r="G27" s="661" t="str">
        <f>'DataBase (IMO form)'!L18</f>
        <v>ROMANIAN</v>
      </c>
      <c r="H27" s="643">
        <f>'DataBase (IMO form)'!I18</f>
        <v>33966</v>
      </c>
      <c r="I27" s="644" t="str">
        <f>'DataBase (IMO form)'!K18</f>
        <v>CONSTANTA</v>
      </c>
      <c r="J27" s="645" t="e">
        <f>'DataBase (IMO form)'!#REF!</f>
        <v>#REF!</v>
      </c>
      <c r="K27" s="644" t="str">
        <f>'DataBase (IMO form)'!H18</f>
        <v>M</v>
      </c>
      <c r="L27" s="644" t="s">
        <v>256</v>
      </c>
      <c r="M27" s="662" t="str">
        <f>'DataBase (IMO form)'!W18</f>
        <v>063513795</v>
      </c>
      <c r="N27" s="646" t="str">
        <f>'DataBase (IMO form)'!Y18</f>
        <v>CONSTANTA</v>
      </c>
      <c r="O27" s="647">
        <f>'DataBase (IMO form)'!X18</f>
        <v>48638</v>
      </c>
    </row>
    <row r="28" spans="2:20" s="497" customFormat="1" ht="39" customHeight="1" thickBot="1">
      <c r="B28" s="1162"/>
      <c r="C28" s="640">
        <f>'DataBase (IMO form)'!B22</f>
        <v>15</v>
      </c>
      <c r="D28" s="659" t="str">
        <f>'DataBase (IMO form)'!D22</f>
        <v>LADINES</v>
      </c>
      <c r="E28" s="659" t="str">
        <f>'DataBase (IMO form)'!E22</f>
        <v>RODOLFO JR.</v>
      </c>
      <c r="F28" s="660" t="str">
        <f>'DataBase (IMO form)'!C22</f>
        <v>BOSUN</v>
      </c>
      <c r="G28" s="661" t="str">
        <f>'DataBase (IMO form)'!L22</f>
        <v>FILIPINO</v>
      </c>
      <c r="H28" s="643">
        <f>'DataBase (IMO form)'!I22</f>
        <v>29241</v>
      </c>
      <c r="I28" s="644" t="str">
        <f>'DataBase (IMO form)'!K22</f>
        <v>SAMPALOC QUEZON</v>
      </c>
      <c r="J28" s="645" t="e">
        <f>'DataBase (IMO form)'!#REF!</f>
        <v>#REF!</v>
      </c>
      <c r="K28" s="644" t="str">
        <f>'DataBase (IMO form)'!H22</f>
        <v>M</v>
      </c>
      <c r="L28" s="644" t="s">
        <v>256</v>
      </c>
      <c r="M28" s="662" t="str">
        <f>'DataBase (IMO form)'!W22</f>
        <v>P9127792B</v>
      </c>
      <c r="N28" s="646" t="str">
        <f>'DataBase (IMO form)'!Y22</f>
        <v xml:space="preserve">DFA LUCENA </v>
      </c>
      <c r="O28" s="647">
        <f>'DataBase (IMO form)'!X22</f>
        <v>48275</v>
      </c>
    </row>
    <row r="29" spans="2:20" s="497" customFormat="1" ht="39" customHeight="1" thickBot="1">
      <c r="B29" s="1162"/>
      <c r="C29" s="640">
        <f>'DataBase (IMO form)'!B23</f>
        <v>16</v>
      </c>
      <c r="D29" s="659" t="str">
        <f>'DataBase (IMO form)'!D23</f>
        <v xml:space="preserve">LUPAZ </v>
      </c>
      <c r="E29" s="659" t="str">
        <f>'DataBase (IMO form)'!E23</f>
        <v>ALBERTO JR.</v>
      </c>
      <c r="F29" s="660" t="str">
        <f>'DataBase (IMO form)'!C23</f>
        <v>AB</v>
      </c>
      <c r="G29" s="661" t="str">
        <f>'DataBase (IMO form)'!L23</f>
        <v>FILIPINO</v>
      </c>
      <c r="H29" s="643">
        <f>'DataBase (IMO form)'!I23</f>
        <v>34168</v>
      </c>
      <c r="I29" s="644" t="str">
        <f>'DataBase (IMO form)'!K23</f>
        <v>NASIPIT AND</v>
      </c>
      <c r="J29" s="645" t="e">
        <f>'DataBase (IMO form)'!#REF!</f>
        <v>#REF!</v>
      </c>
      <c r="K29" s="644" t="str">
        <f>'DataBase (IMO form)'!H23</f>
        <v>M</v>
      </c>
      <c r="L29" s="644" t="s">
        <v>256</v>
      </c>
      <c r="M29" s="662" t="str">
        <f>'DataBase (IMO form)'!W23</f>
        <v>P5223721B</v>
      </c>
      <c r="N29" s="646" t="str">
        <f>'DataBase (IMO form)'!Y23</f>
        <v>DFA NCR WEST</v>
      </c>
      <c r="O29" s="647">
        <f>'DataBase (IMO form)'!X23</f>
        <v>47649</v>
      </c>
    </row>
    <row r="30" spans="2:20" s="497" customFormat="1" ht="39" customHeight="1" thickBot="1">
      <c r="B30" s="1162"/>
      <c r="C30" s="640">
        <f>'DataBase (IMO form)'!B24</f>
        <v>17</v>
      </c>
      <c r="D30" s="659" t="str">
        <f>'DataBase (IMO form)'!D24</f>
        <v xml:space="preserve">PALERACIO </v>
      </c>
      <c r="E30" s="659" t="str">
        <f>'DataBase (IMO form)'!E24</f>
        <v>JOHN CALLED</v>
      </c>
      <c r="F30" s="660" t="str">
        <f>'DataBase (IMO form)'!C24</f>
        <v>AB</v>
      </c>
      <c r="G30" s="661" t="str">
        <f>'DataBase (IMO form)'!L24</f>
        <v>FILIPINO</v>
      </c>
      <c r="H30" s="643">
        <f>'DataBase (IMO form)'!I24</f>
        <v>33759</v>
      </c>
      <c r="I30" s="644" t="str">
        <f>'DataBase (IMO form)'!K24</f>
        <v>SAMPALOC QUEZON</v>
      </c>
      <c r="J30" s="645" t="e">
        <f>'DataBase (IMO form)'!#REF!</f>
        <v>#REF!</v>
      </c>
      <c r="K30" s="644" t="str">
        <f>'DataBase (IMO form)'!H24</f>
        <v>M</v>
      </c>
      <c r="L30" s="644" t="s">
        <v>256</v>
      </c>
      <c r="M30" s="662" t="str">
        <f>'DataBase (IMO form)'!W24</f>
        <v>P5914768B</v>
      </c>
      <c r="N30" s="646" t="str">
        <f>'DataBase (IMO form)'!Y24</f>
        <v xml:space="preserve">DFA LUCENA </v>
      </c>
      <c r="O30" s="647">
        <f>'DataBase (IMO form)'!X24</f>
        <v>47825</v>
      </c>
    </row>
    <row r="31" spans="2:20" s="497" customFormat="1" ht="39.75" customHeight="1" thickBot="1">
      <c r="B31" s="1162"/>
      <c r="C31" s="640">
        <f>'DataBase (IMO form)'!B25</f>
        <v>18</v>
      </c>
      <c r="D31" s="659" t="str">
        <f>'DataBase (IMO form)'!D25</f>
        <v xml:space="preserve">RUFON </v>
      </c>
      <c r="E31" s="659" t="str">
        <f>'DataBase (IMO form)'!E25</f>
        <v>NOEL III</v>
      </c>
      <c r="F31" s="660" t="str">
        <f>'DataBase (IMO form)'!C25</f>
        <v>AB</v>
      </c>
      <c r="G31" s="661" t="str">
        <f>'DataBase (IMO form)'!L25</f>
        <v>FILIPINO</v>
      </c>
      <c r="H31" s="643">
        <f>'DataBase (IMO form)'!I25</f>
        <v>35899</v>
      </c>
      <c r="I31" s="644" t="str">
        <f>'DataBase (IMO form)'!K25</f>
        <v>QUEZON CITY</v>
      </c>
      <c r="J31" s="645" t="e">
        <f>'DataBase (IMO form)'!#REF!</f>
        <v>#REF!</v>
      </c>
      <c r="K31" s="644" t="str">
        <f>'DataBase (IMO form)'!H25</f>
        <v>M</v>
      </c>
      <c r="L31" s="644" t="s">
        <v>256</v>
      </c>
      <c r="M31" s="662" t="str">
        <f>'DataBase (IMO form)'!W25</f>
        <v>P3324286B</v>
      </c>
      <c r="N31" s="646" t="str">
        <f>'DataBase (IMO form)'!Y25</f>
        <v>DFA NCR NORTHEAST</v>
      </c>
      <c r="O31" s="647">
        <f>'DataBase (IMO form)'!X25</f>
        <v>47384</v>
      </c>
    </row>
    <row r="32" spans="2:20" s="497" customFormat="1" ht="39.75" customHeight="1" thickBot="1">
      <c r="B32" s="1162"/>
      <c r="C32" s="640">
        <f>'DataBase (IMO form)'!B27</f>
        <v>20</v>
      </c>
      <c r="D32" s="659" t="str">
        <f>'DataBase (IMO form)'!D27</f>
        <v>ACULIT</v>
      </c>
      <c r="E32" s="659" t="str">
        <f>'DataBase (IMO form)'!E27</f>
        <v>MIKE LISLIE</v>
      </c>
      <c r="F32" s="660" t="str">
        <f>'DataBase (IMO form)'!C27</f>
        <v>OS</v>
      </c>
      <c r="G32" s="661" t="str">
        <f>'DataBase (IMO form)'!L27</f>
        <v>FILIPINO</v>
      </c>
      <c r="H32" s="643">
        <f>'DataBase (IMO form)'!I27</f>
        <v>35054</v>
      </c>
      <c r="I32" s="644" t="str">
        <f>'DataBase (IMO form)'!K27</f>
        <v>BAGO CITY</v>
      </c>
      <c r="J32" s="645" t="e">
        <f>'DataBase (IMO form)'!#REF!</f>
        <v>#REF!</v>
      </c>
      <c r="K32" s="644" t="str">
        <f>'DataBase (IMO form)'!H27</f>
        <v>M</v>
      </c>
      <c r="L32" s="644" t="s">
        <v>256</v>
      </c>
      <c r="M32" s="662" t="str">
        <f>'DataBase (IMO form)'!W27</f>
        <v>P3505092B</v>
      </c>
      <c r="N32" s="646" t="str">
        <f>'DataBase (IMO form)'!Y27</f>
        <v>DFA BACOLOD</v>
      </c>
      <c r="O32" s="647">
        <f>'DataBase (IMO form)'!X27</f>
        <v>47401</v>
      </c>
    </row>
    <row r="33" spans="2:20" s="497" customFormat="1" ht="39.75" customHeight="1" thickBot="1">
      <c r="B33" s="1162"/>
      <c r="C33" s="640">
        <f>'DataBase (IMO form)'!B28</f>
        <v>21</v>
      </c>
      <c r="D33" s="659" t="str">
        <f>'DataBase (IMO form)'!D28</f>
        <v>DOMONDON</v>
      </c>
      <c r="E33" s="659" t="str">
        <f>'DataBase (IMO form)'!E28</f>
        <v>DEXTER</v>
      </c>
      <c r="F33" s="660" t="str">
        <f>'DataBase (IMO form)'!C28</f>
        <v>OS</v>
      </c>
      <c r="G33" s="661" t="str">
        <f>'DataBase (IMO form)'!L28</f>
        <v>FILIPINO</v>
      </c>
      <c r="H33" s="643">
        <f>'DataBase (IMO form)'!I28</f>
        <v>36084</v>
      </c>
      <c r="I33" s="644" t="str">
        <f>'DataBase (IMO form)'!K28</f>
        <v>MARIKINA CITY</v>
      </c>
      <c r="J33" s="645" t="e">
        <f>'DataBase (IMO form)'!#REF!</f>
        <v>#REF!</v>
      </c>
      <c r="K33" s="644" t="str">
        <f>'DataBase (IMO form)'!H28</f>
        <v>M</v>
      </c>
      <c r="L33" s="644" t="s">
        <v>256</v>
      </c>
      <c r="M33" s="662" t="str">
        <f>'DataBase (IMO form)'!W28</f>
        <v>P6400609A</v>
      </c>
      <c r="N33" s="646" t="str">
        <f>'DataBase (IMO form)'!Y28</f>
        <v>DFA NCR WEST</v>
      </c>
      <c r="O33" s="647">
        <f>'DataBase (IMO form)'!X28</f>
        <v>46824</v>
      </c>
    </row>
    <row r="34" spans="2:20" s="497" customFormat="1" ht="39.75" customHeight="1" thickBot="1">
      <c r="B34" s="1162"/>
      <c r="C34" s="640">
        <f>'DataBase (IMO form)'!B29</f>
        <v>22</v>
      </c>
      <c r="D34" s="659" t="str">
        <f>'DataBase (IMO form)'!D29</f>
        <v>DACANAY</v>
      </c>
      <c r="E34" s="659" t="str">
        <f>'DataBase (IMO form)'!E29</f>
        <v>JAYSON</v>
      </c>
      <c r="F34" s="660" t="str">
        <f>'DataBase (IMO form)'!C29</f>
        <v>FITTER</v>
      </c>
      <c r="G34" s="661" t="str">
        <f>'DataBase (IMO form)'!L29</f>
        <v>FILIPINO</v>
      </c>
      <c r="H34" s="643">
        <f>'DataBase (IMO form)'!I29</f>
        <v>33621</v>
      </c>
      <c r="I34" s="644" t="str">
        <f>'DataBase (IMO form)'!K29</f>
        <v>SISON PANGASINAN</v>
      </c>
      <c r="J34" s="645" t="e">
        <f>'DataBase (IMO form)'!#REF!</f>
        <v>#REF!</v>
      </c>
      <c r="K34" s="644" t="str">
        <f>'DataBase (IMO form)'!H29</f>
        <v>M</v>
      </c>
      <c r="L34" s="644" t="s">
        <v>256</v>
      </c>
      <c r="M34" s="662" t="str">
        <f>'DataBase (IMO form)'!W29</f>
        <v>P6556840B</v>
      </c>
      <c r="N34" s="646" t="str">
        <f>'DataBase (IMO form)'!Y29</f>
        <v>DFA LA UNION</v>
      </c>
      <c r="O34" s="647">
        <f>'DataBase (IMO form)'!X29</f>
        <v>47931</v>
      </c>
    </row>
    <row r="35" spans="2:20" s="497" customFormat="1" ht="39.75" customHeight="1" thickBot="1">
      <c r="B35" s="1162"/>
      <c r="C35" s="640">
        <f>'DataBase (IMO form)'!B30</f>
        <v>23</v>
      </c>
      <c r="D35" s="659" t="str">
        <f>'DataBase (IMO form)'!D30</f>
        <v>APID</v>
      </c>
      <c r="E35" s="659" t="str">
        <f>'DataBase (IMO form)'!E30</f>
        <v>LORD BYRON</v>
      </c>
      <c r="F35" s="660" t="str">
        <f>'DataBase (IMO form)'!C30</f>
        <v>MTM</v>
      </c>
      <c r="G35" s="661" t="str">
        <f>'DataBase (IMO form)'!L30</f>
        <v>FILIPINO</v>
      </c>
      <c r="H35" s="643">
        <f>'DataBase (IMO form)'!I30</f>
        <v>32630</v>
      </c>
      <c r="I35" s="644" t="str">
        <f>'DataBase (IMO form)'!K30</f>
        <v>DIONISIO ILOILO</v>
      </c>
      <c r="J35" s="645" t="e">
        <f>'DataBase (IMO form)'!#REF!</f>
        <v>#REF!</v>
      </c>
      <c r="K35" s="644" t="str">
        <f>'DataBase (IMO form)'!H30</f>
        <v>M</v>
      </c>
      <c r="L35" s="644" t="s">
        <v>256</v>
      </c>
      <c r="M35" s="662" t="str">
        <f>'DataBase (IMO form)'!W30</f>
        <v>P6351015A</v>
      </c>
      <c r="N35" s="646" t="str">
        <f>'DataBase (IMO form)'!Y30</f>
        <v>DFA MANILA</v>
      </c>
      <c r="O35" s="647">
        <f>'DataBase (IMO form)'!X30</f>
        <v>46820</v>
      </c>
    </row>
    <row r="36" spans="2:20" s="497" customFormat="1" ht="39.75" customHeight="1" thickBot="1">
      <c r="B36" s="1162"/>
      <c r="C36" s="640">
        <f>'DataBase (IMO form)'!B31</f>
        <v>24</v>
      </c>
      <c r="D36" s="659" t="str">
        <f>'DataBase (IMO form)'!D31</f>
        <v>BRILLANTES</v>
      </c>
      <c r="E36" s="659" t="str">
        <f>'DataBase (IMO form)'!E31</f>
        <v>FER ANN</v>
      </c>
      <c r="F36" s="660" t="str">
        <f>'DataBase (IMO form)'!C31</f>
        <v>MTM</v>
      </c>
      <c r="G36" s="661" t="str">
        <f>'DataBase (IMO form)'!L31</f>
        <v>FILIPINO</v>
      </c>
      <c r="H36" s="643">
        <f>'DataBase (IMO form)'!I31</f>
        <v>33831</v>
      </c>
      <c r="I36" s="644" t="str">
        <f>'DataBase (IMO form)'!K31</f>
        <v>ILOILO CITY</v>
      </c>
      <c r="J36" s="645" t="e">
        <f>'DataBase (IMO form)'!#REF!</f>
        <v>#REF!</v>
      </c>
      <c r="K36" s="644" t="str">
        <f>'DataBase (IMO form)'!H31</f>
        <v>M</v>
      </c>
      <c r="L36" s="644" t="s">
        <v>256</v>
      </c>
      <c r="M36" s="662" t="str">
        <f>'DataBase (IMO form)'!W31</f>
        <v>P7519115A</v>
      </c>
      <c r="N36" s="646" t="str">
        <f>'DataBase (IMO form)'!Y31</f>
        <v>DFA ILOILO</v>
      </c>
      <c r="O36" s="647">
        <f>'DataBase (IMO form)'!X31</f>
        <v>46914</v>
      </c>
    </row>
    <row r="37" spans="2:20" s="497" customFormat="1" ht="39.75" customHeight="1" thickBot="1">
      <c r="B37" s="546"/>
      <c r="C37" s="640">
        <f>'DataBase (IMO form)'!B32</f>
        <v>25</v>
      </c>
      <c r="D37" s="659" t="str">
        <f>'DataBase (IMO form)'!D32</f>
        <v>FLORES</v>
      </c>
      <c r="E37" s="659" t="str">
        <f>'DataBase (IMO form)'!E32</f>
        <v>NORIEL</v>
      </c>
      <c r="F37" s="660" t="str">
        <f>'DataBase (IMO form)'!C32</f>
        <v>WIPER</v>
      </c>
      <c r="G37" s="661" t="str">
        <f>'DataBase (IMO form)'!L32</f>
        <v>FILIPINO</v>
      </c>
      <c r="H37" s="643">
        <f>'DataBase (IMO form)'!I32</f>
        <v>36550</v>
      </c>
      <c r="I37" s="644" t="str">
        <f>'DataBase (IMO form)'!K32</f>
        <v>P GALERA OR MDO</v>
      </c>
      <c r="J37" s="645" t="e">
        <f>'DataBase (IMO form)'!#REF!</f>
        <v>#REF!</v>
      </c>
      <c r="K37" s="644" t="str">
        <f>'DataBase (IMO form)'!H32</f>
        <v>M</v>
      </c>
      <c r="L37" s="644" t="s">
        <v>256</v>
      </c>
      <c r="M37" s="662" t="str">
        <f>'DataBase (IMO form)'!W32</f>
        <v>P1950890C</v>
      </c>
      <c r="N37" s="646" t="str">
        <f>'DataBase (IMO form)'!Y32</f>
        <v>DFA NCR SOUTH</v>
      </c>
      <c r="O37" s="647">
        <f>'DataBase (IMO form)'!X32</f>
        <v>48494</v>
      </c>
    </row>
    <row r="38" spans="2:20" s="497" customFormat="1" ht="39.75" customHeight="1" thickBot="1">
      <c r="B38" s="546"/>
      <c r="C38" s="640">
        <f>'DataBase (IMO form)'!B33</f>
        <v>26</v>
      </c>
      <c r="D38" s="659" t="str">
        <f>'DataBase (IMO form)'!D33</f>
        <v>ESTRABELA</v>
      </c>
      <c r="E38" s="659" t="str">
        <f>'DataBase (IMO form)'!E33</f>
        <v>ARIES</v>
      </c>
      <c r="F38" s="660" t="str">
        <f>'DataBase (IMO form)'!C33</f>
        <v>CHIEF COOK</v>
      </c>
      <c r="G38" s="661" t="str">
        <f>'DataBase (IMO form)'!L33</f>
        <v>FILIPINO</v>
      </c>
      <c r="H38" s="643">
        <f>'DataBase (IMO form)'!I33</f>
        <v>34876</v>
      </c>
      <c r="I38" s="644" t="str">
        <f>'DataBase (IMO form)'!K33</f>
        <v>BARCELONA SSG</v>
      </c>
      <c r="J38" s="645" t="e">
        <f>'DataBase (IMO form)'!#REF!</f>
        <v>#REF!</v>
      </c>
      <c r="K38" s="644" t="str">
        <f>'DataBase (IMO form)'!H33</f>
        <v>M</v>
      </c>
      <c r="L38" s="644" t="s">
        <v>256</v>
      </c>
      <c r="M38" s="662" t="str">
        <f>'DataBase (IMO form)'!W33</f>
        <v>P6676452B</v>
      </c>
      <c r="N38" s="646" t="str">
        <f>'DataBase (IMO form)'!Y33</f>
        <v>DFA NCR EAST</v>
      </c>
      <c r="O38" s="647">
        <f>'DataBase (IMO form)'!X33</f>
        <v>47957</v>
      </c>
    </row>
    <row r="39" spans="2:20" s="497" customFormat="1" ht="39.75" customHeight="1" thickBot="1">
      <c r="B39" s="546"/>
      <c r="C39" s="640">
        <f>'DataBase (IMO form)'!B34</f>
        <v>27</v>
      </c>
      <c r="D39" s="659" t="str">
        <f>'DataBase (IMO form)'!D34</f>
        <v>ALLADO</v>
      </c>
      <c r="E39" s="659" t="str">
        <f>'DataBase (IMO form)'!E34</f>
        <v>KEITH VINCENT</v>
      </c>
      <c r="F39" s="660" t="str">
        <f>'DataBase (IMO form)'!C34</f>
        <v>ASS COOK</v>
      </c>
      <c r="G39" s="661" t="str">
        <f>'DataBase (IMO form)'!L34</f>
        <v>FILIPINO</v>
      </c>
      <c r="H39" s="643">
        <f>'DataBase (IMO form)'!I34</f>
        <v>34074</v>
      </c>
      <c r="I39" s="644" t="str">
        <f>'DataBase (IMO form)'!K34</f>
        <v>SAMPALOC QUEZON</v>
      </c>
      <c r="J39" s="645" t="e">
        <f>'DataBase (IMO form)'!#REF!</f>
        <v>#REF!</v>
      </c>
      <c r="K39" s="644" t="str">
        <f>'DataBase (IMO form)'!H34</f>
        <v>M</v>
      </c>
      <c r="L39" s="644" t="s">
        <v>256</v>
      </c>
      <c r="M39" s="662" t="str">
        <f>'DataBase (IMO form)'!W34</f>
        <v>P6096925B</v>
      </c>
      <c r="N39" s="646" t="str">
        <f>'DataBase (IMO form)'!Y34</f>
        <v xml:space="preserve">DFA LUCENA </v>
      </c>
      <c r="O39" s="647">
        <f>'DataBase (IMO form)'!X34</f>
        <v>47862</v>
      </c>
    </row>
    <row r="40" spans="2:20" s="497" customFormat="1" ht="26.25" thickBot="1">
      <c r="B40" s="546"/>
      <c r="C40" s="640">
        <f>'DataBase (IMO form)'!B35</f>
        <v>28</v>
      </c>
      <c r="D40" s="659" t="str">
        <f>'DataBase (IMO form)'!D35</f>
        <v>ABES</v>
      </c>
      <c r="E40" s="659" t="str">
        <f>'DataBase (IMO form)'!E35</f>
        <v>JAMES DARWIN</v>
      </c>
      <c r="F40" s="660" t="str">
        <f>'DataBase (IMO form)'!C35</f>
        <v>MSM</v>
      </c>
      <c r="G40" s="661" t="str">
        <f>'DataBase (IMO form)'!L35</f>
        <v>FILIPINO</v>
      </c>
      <c r="H40" s="643">
        <f>'DataBase (IMO form)'!I35</f>
        <v>36409</v>
      </c>
      <c r="I40" s="644" t="str">
        <f>'DataBase (IMO form)'!K35</f>
        <v>GITAGUM MIS OR</v>
      </c>
      <c r="J40" s="645" t="e">
        <f>'DataBase (IMO form)'!#REF!</f>
        <v>#REF!</v>
      </c>
      <c r="K40" s="644" t="str">
        <f>'DataBase (IMO form)'!H35</f>
        <v>M</v>
      </c>
      <c r="L40" s="644" t="s">
        <v>256</v>
      </c>
      <c r="M40" s="662" t="str">
        <f>'DataBase (IMO form)'!W35</f>
        <v>P3071209C</v>
      </c>
      <c r="N40" s="646" t="str">
        <f>'DataBase (IMO form)'!Y35</f>
        <v>DFA BUTUAN</v>
      </c>
      <c r="O40" s="647">
        <f>'DataBase (IMO form)'!X35</f>
        <v>48604</v>
      </c>
      <c r="T40" s="497" t="s">
        <v>809</v>
      </c>
    </row>
    <row r="41" spans="2:20">
      <c r="C41" s="1133" t="s">
        <v>251</v>
      </c>
      <c r="D41" s="1133"/>
      <c r="E41" s="1133"/>
      <c r="F41" s="1133"/>
      <c r="G41" s="1133"/>
      <c r="H41" s="1133"/>
      <c r="I41" s="1133"/>
      <c r="J41" s="1133"/>
      <c r="K41" s="1133"/>
      <c r="L41" s="1133"/>
      <c r="M41" s="1133"/>
      <c r="N41" s="1133"/>
      <c r="O41" s="1133"/>
    </row>
    <row r="42" spans="2:20" ht="15.75">
      <c r="D42" s="503">
        <f>J7</f>
        <v>0</v>
      </c>
      <c r="F42" s="504"/>
    </row>
    <row r="43" spans="2:20" ht="15">
      <c r="F43" s="504"/>
      <c r="N43" s="538"/>
      <c r="O43" s="538"/>
      <c r="P43" s="502"/>
    </row>
    <row r="44" spans="2:20" s="502" customFormat="1">
      <c r="B44" s="501"/>
      <c r="C44" s="507"/>
      <c r="D44" s="507"/>
      <c r="E44" s="507"/>
      <c r="F44" s="508"/>
      <c r="H44" s="505"/>
      <c r="I44" s="504"/>
      <c r="J44" s="504"/>
      <c r="K44" s="504"/>
      <c r="L44" s="504"/>
      <c r="N44" s="539"/>
      <c r="O44" s="539"/>
    </row>
    <row r="45" spans="2:20" s="502" customFormat="1" ht="15">
      <c r="B45" s="501"/>
      <c r="F45" s="504"/>
      <c r="H45" s="1129" t="s">
        <v>960</v>
      </c>
      <c r="I45" s="1130"/>
      <c r="J45" s="1130"/>
      <c r="K45" s="1130"/>
      <c r="L45" s="1130"/>
      <c r="M45" s="1130"/>
    </row>
    <row r="46" spans="2:20" s="502" customFormat="1">
      <c r="B46" s="501"/>
      <c r="F46" s="504"/>
      <c r="H46" s="1131" t="s">
        <v>39</v>
      </c>
      <c r="I46" s="1131"/>
      <c r="J46" s="1131"/>
      <c r="K46" s="1131"/>
      <c r="L46" s="1131"/>
      <c r="M46" s="1131"/>
    </row>
    <row r="47" spans="2:20" s="502" customFormat="1">
      <c r="B47" s="501"/>
      <c r="F47" s="504"/>
      <c r="H47" s="505"/>
      <c r="I47" s="504"/>
      <c r="J47" s="504"/>
      <c r="K47" s="504"/>
      <c r="L47" s="504"/>
    </row>
    <row r="48" spans="2:20" s="502" customFormat="1">
      <c r="B48" s="501"/>
      <c r="F48" s="504"/>
      <c r="H48" s="505"/>
      <c r="I48" s="504"/>
      <c r="J48" s="504"/>
      <c r="K48" s="504"/>
      <c r="L48" s="504"/>
    </row>
    <row r="49" spans="2:16" s="502" customFormat="1">
      <c r="B49" s="501"/>
      <c r="F49" s="504"/>
      <c r="H49" s="505"/>
      <c r="I49" s="504"/>
      <c r="J49" s="504"/>
      <c r="K49" s="504"/>
      <c r="L49" s="504"/>
    </row>
    <row r="50" spans="2:16" s="502" customFormat="1">
      <c r="B50" s="501"/>
      <c r="F50" s="504"/>
      <c r="H50" s="505"/>
      <c r="I50" s="504"/>
      <c r="J50" s="504"/>
      <c r="K50" s="504"/>
      <c r="L50" s="504"/>
    </row>
    <row r="51" spans="2:16" s="502" customFormat="1">
      <c r="B51" s="501"/>
      <c r="F51" s="504"/>
      <c r="H51" s="505"/>
      <c r="I51" s="504"/>
      <c r="J51" s="504"/>
      <c r="K51" s="504"/>
      <c r="L51" s="504"/>
    </row>
    <row r="52" spans="2:16" s="502" customFormat="1">
      <c r="B52" s="501"/>
      <c r="F52" s="504"/>
      <c r="H52" s="505"/>
      <c r="I52" s="504"/>
      <c r="J52" s="504"/>
      <c r="K52" s="504"/>
      <c r="L52" s="504"/>
    </row>
    <row r="53" spans="2:16" s="502" customFormat="1">
      <c r="B53" s="501"/>
      <c r="F53" s="504"/>
      <c r="H53" s="505"/>
      <c r="I53" s="504"/>
      <c r="J53" s="504"/>
      <c r="K53" s="504"/>
      <c r="L53" s="504"/>
    </row>
    <row r="54" spans="2:16" s="502" customFormat="1">
      <c r="B54" s="501"/>
      <c r="F54" s="504"/>
      <c r="H54" s="505"/>
      <c r="I54" s="504"/>
      <c r="J54" s="504"/>
      <c r="K54" s="504"/>
      <c r="L54" s="504"/>
    </row>
    <row r="55" spans="2:16" s="502" customFormat="1">
      <c r="B55" s="501"/>
      <c r="F55" s="504"/>
      <c r="H55" s="505"/>
      <c r="I55" s="504"/>
      <c r="J55" s="504"/>
      <c r="K55" s="504"/>
      <c r="L55" s="504"/>
    </row>
    <row r="56" spans="2:16" s="502" customFormat="1">
      <c r="B56" s="501"/>
      <c r="F56" s="504"/>
      <c r="H56" s="505"/>
      <c r="I56" s="504"/>
      <c r="J56" s="504"/>
      <c r="K56" s="504"/>
      <c r="L56" s="504"/>
      <c r="P56" s="501"/>
    </row>
    <row r="57" spans="2:16">
      <c r="F57" s="504"/>
    </row>
    <row r="58" spans="2:16">
      <c r="F58" s="504"/>
      <c r="K58" s="504" t="s">
        <v>143</v>
      </c>
    </row>
    <row r="59" spans="2:16">
      <c r="F59" s="504"/>
    </row>
    <row r="60" spans="2:16">
      <c r="F60" s="504"/>
    </row>
    <row r="61" spans="2:16">
      <c r="F61" s="504"/>
    </row>
  </sheetData>
  <sheetProtection formatRows="0"/>
  <mergeCells count="29">
    <mergeCell ref="S14:U14"/>
    <mergeCell ref="B2:M2"/>
    <mergeCell ref="M4:O4"/>
    <mergeCell ref="C5:E5"/>
    <mergeCell ref="M5:O5"/>
    <mergeCell ref="B6:B25"/>
    <mergeCell ref="E6:F6"/>
    <mergeCell ref="J6:O6"/>
    <mergeCell ref="G7:I8"/>
    <mergeCell ref="J7:O11"/>
    <mergeCell ref="C11:F11"/>
    <mergeCell ref="F3:H3"/>
    <mergeCell ref="F12:F13"/>
    <mergeCell ref="B26:B36"/>
    <mergeCell ref="G11:I11"/>
    <mergeCell ref="C12:C13"/>
    <mergeCell ref="D12:D13"/>
    <mergeCell ref="E12:E13"/>
    <mergeCell ref="G12:G13"/>
    <mergeCell ref="H12:H13"/>
    <mergeCell ref="I12:I13"/>
    <mergeCell ref="C41:O41"/>
    <mergeCell ref="H46:M46"/>
    <mergeCell ref="K12:K13"/>
    <mergeCell ref="L12:L13"/>
    <mergeCell ref="M12:M13"/>
    <mergeCell ref="N12:N13"/>
    <mergeCell ref="O12:O13"/>
    <mergeCell ref="H45:M45"/>
  </mergeCells>
  <conditionalFormatting sqref="C14:O40">
    <cfRule type="cellIs" dxfId="159" priority="23248" stopIfTrue="1" operator="lessThanOrEqual">
      <formula>$S$34</formula>
    </cfRule>
  </conditionalFormatting>
  <printOptions horizontalCentered="1"/>
  <pageMargins left="0.7" right="0.7" top="0.75" bottom="0.75" header="0.3" footer="0.3"/>
  <pageSetup paperSize="9" scale="46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00000"/>
    <pageSetUpPr fitToPage="1"/>
  </sheetPr>
  <dimension ref="A2:O203"/>
  <sheetViews>
    <sheetView view="pageBreakPreview" zoomScaleNormal="115" zoomScaleSheetLayoutView="100" workbookViewId="0">
      <selection activeCell="Q24" sqref="Q24"/>
    </sheetView>
  </sheetViews>
  <sheetFormatPr defaultRowHeight="11.25"/>
  <cols>
    <col min="1" max="2" width="9.140625" style="223"/>
    <col min="3" max="3" width="9.140625" style="223" customWidth="1"/>
    <col min="4" max="4" width="13.28515625" style="223" customWidth="1"/>
    <col min="5" max="5" width="8.140625" style="223" customWidth="1"/>
    <col min="6" max="6" width="10.140625" style="223" customWidth="1"/>
    <col min="7" max="7" width="10.5703125" style="223" customWidth="1"/>
    <col min="8" max="8" width="14.28515625" style="223" customWidth="1"/>
    <col min="9" max="9" width="4.28515625" style="223" customWidth="1"/>
    <col min="10" max="10" width="17.7109375" style="223" customWidth="1"/>
    <col min="11" max="11" width="12" style="223" customWidth="1"/>
    <col min="12" max="12" width="7" style="223" customWidth="1"/>
    <col min="13" max="258" width="9.140625" style="223"/>
    <col min="259" max="259" width="9.140625" style="223" customWidth="1"/>
    <col min="260" max="260" width="9.140625" style="223"/>
    <col min="261" max="261" width="8.140625" style="223" customWidth="1"/>
    <col min="262" max="262" width="10.140625" style="223" customWidth="1"/>
    <col min="263" max="263" width="10.5703125" style="223" customWidth="1"/>
    <col min="264" max="264" width="7.7109375" style="223" customWidth="1"/>
    <col min="265" max="265" width="4.28515625" style="223" customWidth="1"/>
    <col min="266" max="266" width="12.7109375" style="223" customWidth="1"/>
    <col min="267" max="267" width="12" style="223" customWidth="1"/>
    <col min="268" max="268" width="7" style="223" customWidth="1"/>
    <col min="269" max="514" width="9.140625" style="223"/>
    <col min="515" max="515" width="9.140625" style="223" customWidth="1"/>
    <col min="516" max="516" width="9.140625" style="223"/>
    <col min="517" max="517" width="8.140625" style="223" customWidth="1"/>
    <col min="518" max="518" width="10.140625" style="223" customWidth="1"/>
    <col min="519" max="519" width="10.5703125" style="223" customWidth="1"/>
    <col min="520" max="520" width="7.7109375" style="223" customWidth="1"/>
    <col min="521" max="521" width="4.28515625" style="223" customWidth="1"/>
    <col min="522" max="522" width="12.7109375" style="223" customWidth="1"/>
    <col min="523" max="523" width="12" style="223" customWidth="1"/>
    <col min="524" max="524" width="7" style="223" customWidth="1"/>
    <col min="525" max="770" width="9.140625" style="223"/>
    <col min="771" max="771" width="9.140625" style="223" customWidth="1"/>
    <col min="772" max="772" width="9.140625" style="223"/>
    <col min="773" max="773" width="8.140625" style="223" customWidth="1"/>
    <col min="774" max="774" width="10.140625" style="223" customWidth="1"/>
    <col min="775" max="775" width="10.5703125" style="223" customWidth="1"/>
    <col min="776" max="776" width="7.7109375" style="223" customWidth="1"/>
    <col min="777" max="777" width="4.28515625" style="223" customWidth="1"/>
    <col min="778" max="778" width="12.7109375" style="223" customWidth="1"/>
    <col min="779" max="779" width="12" style="223" customWidth="1"/>
    <col min="780" max="780" width="7" style="223" customWidth="1"/>
    <col min="781" max="1026" width="9.140625" style="223"/>
    <col min="1027" max="1027" width="9.140625" style="223" customWidth="1"/>
    <col min="1028" max="1028" width="9.140625" style="223"/>
    <col min="1029" max="1029" width="8.140625" style="223" customWidth="1"/>
    <col min="1030" max="1030" width="10.140625" style="223" customWidth="1"/>
    <col min="1031" max="1031" width="10.5703125" style="223" customWidth="1"/>
    <col min="1032" max="1032" width="7.7109375" style="223" customWidth="1"/>
    <col min="1033" max="1033" width="4.28515625" style="223" customWidth="1"/>
    <col min="1034" max="1034" width="12.7109375" style="223" customWidth="1"/>
    <col min="1035" max="1035" width="12" style="223" customWidth="1"/>
    <col min="1036" max="1036" width="7" style="223" customWidth="1"/>
    <col min="1037" max="1282" width="9.140625" style="223"/>
    <col min="1283" max="1283" width="9.140625" style="223" customWidth="1"/>
    <col min="1284" max="1284" width="9.140625" style="223"/>
    <col min="1285" max="1285" width="8.140625" style="223" customWidth="1"/>
    <col min="1286" max="1286" width="10.140625" style="223" customWidth="1"/>
    <col min="1287" max="1287" width="10.5703125" style="223" customWidth="1"/>
    <col min="1288" max="1288" width="7.7109375" style="223" customWidth="1"/>
    <col min="1289" max="1289" width="4.28515625" style="223" customWidth="1"/>
    <col min="1290" max="1290" width="12.7109375" style="223" customWidth="1"/>
    <col min="1291" max="1291" width="12" style="223" customWidth="1"/>
    <col min="1292" max="1292" width="7" style="223" customWidth="1"/>
    <col min="1293" max="1538" width="9.140625" style="223"/>
    <col min="1539" max="1539" width="9.140625" style="223" customWidth="1"/>
    <col min="1540" max="1540" width="9.140625" style="223"/>
    <col min="1541" max="1541" width="8.140625" style="223" customWidth="1"/>
    <col min="1542" max="1542" width="10.140625" style="223" customWidth="1"/>
    <col min="1543" max="1543" width="10.5703125" style="223" customWidth="1"/>
    <col min="1544" max="1544" width="7.7109375" style="223" customWidth="1"/>
    <col min="1545" max="1545" width="4.28515625" style="223" customWidth="1"/>
    <col min="1546" max="1546" width="12.7109375" style="223" customWidth="1"/>
    <col min="1547" max="1547" width="12" style="223" customWidth="1"/>
    <col min="1548" max="1548" width="7" style="223" customWidth="1"/>
    <col min="1549" max="1794" width="9.140625" style="223"/>
    <col min="1795" max="1795" width="9.140625" style="223" customWidth="1"/>
    <col min="1796" max="1796" width="9.140625" style="223"/>
    <col min="1797" max="1797" width="8.140625" style="223" customWidth="1"/>
    <col min="1798" max="1798" width="10.140625" style="223" customWidth="1"/>
    <col min="1799" max="1799" width="10.5703125" style="223" customWidth="1"/>
    <col min="1800" max="1800" width="7.7109375" style="223" customWidth="1"/>
    <col min="1801" max="1801" width="4.28515625" style="223" customWidth="1"/>
    <col min="1802" max="1802" width="12.7109375" style="223" customWidth="1"/>
    <col min="1803" max="1803" width="12" style="223" customWidth="1"/>
    <col min="1804" max="1804" width="7" style="223" customWidth="1"/>
    <col min="1805" max="2050" width="9.140625" style="223"/>
    <col min="2051" max="2051" width="9.140625" style="223" customWidth="1"/>
    <col min="2052" max="2052" width="9.140625" style="223"/>
    <col min="2053" max="2053" width="8.140625" style="223" customWidth="1"/>
    <col min="2054" max="2054" width="10.140625" style="223" customWidth="1"/>
    <col min="2055" max="2055" width="10.5703125" style="223" customWidth="1"/>
    <col min="2056" max="2056" width="7.7109375" style="223" customWidth="1"/>
    <col min="2057" max="2057" width="4.28515625" style="223" customWidth="1"/>
    <col min="2058" max="2058" width="12.7109375" style="223" customWidth="1"/>
    <col min="2059" max="2059" width="12" style="223" customWidth="1"/>
    <col min="2060" max="2060" width="7" style="223" customWidth="1"/>
    <col min="2061" max="2306" width="9.140625" style="223"/>
    <col min="2307" max="2307" width="9.140625" style="223" customWidth="1"/>
    <col min="2308" max="2308" width="9.140625" style="223"/>
    <col min="2309" max="2309" width="8.140625" style="223" customWidth="1"/>
    <col min="2310" max="2310" width="10.140625" style="223" customWidth="1"/>
    <col min="2311" max="2311" width="10.5703125" style="223" customWidth="1"/>
    <col min="2312" max="2312" width="7.7109375" style="223" customWidth="1"/>
    <col min="2313" max="2313" width="4.28515625" style="223" customWidth="1"/>
    <col min="2314" max="2314" width="12.7109375" style="223" customWidth="1"/>
    <col min="2315" max="2315" width="12" style="223" customWidth="1"/>
    <col min="2316" max="2316" width="7" style="223" customWidth="1"/>
    <col min="2317" max="2562" width="9.140625" style="223"/>
    <col min="2563" max="2563" width="9.140625" style="223" customWidth="1"/>
    <col min="2564" max="2564" width="9.140625" style="223"/>
    <col min="2565" max="2565" width="8.140625" style="223" customWidth="1"/>
    <col min="2566" max="2566" width="10.140625" style="223" customWidth="1"/>
    <col min="2567" max="2567" width="10.5703125" style="223" customWidth="1"/>
    <col min="2568" max="2568" width="7.7109375" style="223" customWidth="1"/>
    <col min="2569" max="2569" width="4.28515625" style="223" customWidth="1"/>
    <col min="2570" max="2570" width="12.7109375" style="223" customWidth="1"/>
    <col min="2571" max="2571" width="12" style="223" customWidth="1"/>
    <col min="2572" max="2572" width="7" style="223" customWidth="1"/>
    <col min="2573" max="2818" width="9.140625" style="223"/>
    <col min="2819" max="2819" width="9.140625" style="223" customWidth="1"/>
    <col min="2820" max="2820" width="9.140625" style="223"/>
    <col min="2821" max="2821" width="8.140625" style="223" customWidth="1"/>
    <col min="2822" max="2822" width="10.140625" style="223" customWidth="1"/>
    <col min="2823" max="2823" width="10.5703125" style="223" customWidth="1"/>
    <col min="2824" max="2824" width="7.7109375" style="223" customWidth="1"/>
    <col min="2825" max="2825" width="4.28515625" style="223" customWidth="1"/>
    <col min="2826" max="2826" width="12.7109375" style="223" customWidth="1"/>
    <col min="2827" max="2827" width="12" style="223" customWidth="1"/>
    <col min="2828" max="2828" width="7" style="223" customWidth="1"/>
    <col min="2829" max="3074" width="9.140625" style="223"/>
    <col min="3075" max="3075" width="9.140625" style="223" customWidth="1"/>
    <col min="3076" max="3076" width="9.140625" style="223"/>
    <col min="3077" max="3077" width="8.140625" style="223" customWidth="1"/>
    <col min="3078" max="3078" width="10.140625" style="223" customWidth="1"/>
    <col min="3079" max="3079" width="10.5703125" style="223" customWidth="1"/>
    <col min="3080" max="3080" width="7.7109375" style="223" customWidth="1"/>
    <col min="3081" max="3081" width="4.28515625" style="223" customWidth="1"/>
    <col min="3082" max="3082" width="12.7109375" style="223" customWidth="1"/>
    <col min="3083" max="3083" width="12" style="223" customWidth="1"/>
    <col min="3084" max="3084" width="7" style="223" customWidth="1"/>
    <col min="3085" max="3330" width="9.140625" style="223"/>
    <col min="3331" max="3331" width="9.140625" style="223" customWidth="1"/>
    <col min="3332" max="3332" width="9.140625" style="223"/>
    <col min="3333" max="3333" width="8.140625" style="223" customWidth="1"/>
    <col min="3334" max="3334" width="10.140625" style="223" customWidth="1"/>
    <col min="3335" max="3335" width="10.5703125" style="223" customWidth="1"/>
    <col min="3336" max="3336" width="7.7109375" style="223" customWidth="1"/>
    <col min="3337" max="3337" width="4.28515625" style="223" customWidth="1"/>
    <col min="3338" max="3338" width="12.7109375" style="223" customWidth="1"/>
    <col min="3339" max="3339" width="12" style="223" customWidth="1"/>
    <col min="3340" max="3340" width="7" style="223" customWidth="1"/>
    <col min="3341" max="3586" width="9.140625" style="223"/>
    <col min="3587" max="3587" width="9.140625" style="223" customWidth="1"/>
    <col min="3588" max="3588" width="9.140625" style="223"/>
    <col min="3589" max="3589" width="8.140625" style="223" customWidth="1"/>
    <col min="3590" max="3590" width="10.140625" style="223" customWidth="1"/>
    <col min="3591" max="3591" width="10.5703125" style="223" customWidth="1"/>
    <col min="3592" max="3592" width="7.7109375" style="223" customWidth="1"/>
    <col min="3593" max="3593" width="4.28515625" style="223" customWidth="1"/>
    <col min="3594" max="3594" width="12.7109375" style="223" customWidth="1"/>
    <col min="3595" max="3595" width="12" style="223" customWidth="1"/>
    <col min="3596" max="3596" width="7" style="223" customWidth="1"/>
    <col min="3597" max="3842" width="9.140625" style="223"/>
    <col min="3843" max="3843" width="9.140625" style="223" customWidth="1"/>
    <col min="3844" max="3844" width="9.140625" style="223"/>
    <col min="3845" max="3845" width="8.140625" style="223" customWidth="1"/>
    <col min="3846" max="3846" width="10.140625" style="223" customWidth="1"/>
    <col min="3847" max="3847" width="10.5703125" style="223" customWidth="1"/>
    <col min="3848" max="3848" width="7.7109375" style="223" customWidth="1"/>
    <col min="3849" max="3849" width="4.28515625" style="223" customWidth="1"/>
    <col min="3850" max="3850" width="12.7109375" style="223" customWidth="1"/>
    <col min="3851" max="3851" width="12" style="223" customWidth="1"/>
    <col min="3852" max="3852" width="7" style="223" customWidth="1"/>
    <col min="3853" max="4098" width="9.140625" style="223"/>
    <col min="4099" max="4099" width="9.140625" style="223" customWidth="1"/>
    <col min="4100" max="4100" width="9.140625" style="223"/>
    <col min="4101" max="4101" width="8.140625" style="223" customWidth="1"/>
    <col min="4102" max="4102" width="10.140625" style="223" customWidth="1"/>
    <col min="4103" max="4103" width="10.5703125" style="223" customWidth="1"/>
    <col min="4104" max="4104" width="7.7109375" style="223" customWidth="1"/>
    <col min="4105" max="4105" width="4.28515625" style="223" customWidth="1"/>
    <col min="4106" max="4106" width="12.7109375" style="223" customWidth="1"/>
    <col min="4107" max="4107" width="12" style="223" customWidth="1"/>
    <col min="4108" max="4108" width="7" style="223" customWidth="1"/>
    <col min="4109" max="4354" width="9.140625" style="223"/>
    <col min="4355" max="4355" width="9.140625" style="223" customWidth="1"/>
    <col min="4356" max="4356" width="9.140625" style="223"/>
    <col min="4357" max="4357" width="8.140625" style="223" customWidth="1"/>
    <col min="4358" max="4358" width="10.140625" style="223" customWidth="1"/>
    <col min="4359" max="4359" width="10.5703125" style="223" customWidth="1"/>
    <col min="4360" max="4360" width="7.7109375" style="223" customWidth="1"/>
    <col min="4361" max="4361" width="4.28515625" style="223" customWidth="1"/>
    <col min="4362" max="4362" width="12.7109375" style="223" customWidth="1"/>
    <col min="4363" max="4363" width="12" style="223" customWidth="1"/>
    <col min="4364" max="4364" width="7" style="223" customWidth="1"/>
    <col min="4365" max="4610" width="9.140625" style="223"/>
    <col min="4611" max="4611" width="9.140625" style="223" customWidth="1"/>
    <col min="4612" max="4612" width="9.140625" style="223"/>
    <col min="4613" max="4613" width="8.140625" style="223" customWidth="1"/>
    <col min="4614" max="4614" width="10.140625" style="223" customWidth="1"/>
    <col min="4615" max="4615" width="10.5703125" style="223" customWidth="1"/>
    <col min="4616" max="4616" width="7.7109375" style="223" customWidth="1"/>
    <col min="4617" max="4617" width="4.28515625" style="223" customWidth="1"/>
    <col min="4618" max="4618" width="12.7109375" style="223" customWidth="1"/>
    <col min="4619" max="4619" width="12" style="223" customWidth="1"/>
    <col min="4620" max="4620" width="7" style="223" customWidth="1"/>
    <col min="4621" max="4866" width="9.140625" style="223"/>
    <col min="4867" max="4867" width="9.140625" style="223" customWidth="1"/>
    <col min="4868" max="4868" width="9.140625" style="223"/>
    <col min="4869" max="4869" width="8.140625" style="223" customWidth="1"/>
    <col min="4870" max="4870" width="10.140625" style="223" customWidth="1"/>
    <col min="4871" max="4871" width="10.5703125" style="223" customWidth="1"/>
    <col min="4872" max="4872" width="7.7109375" style="223" customWidth="1"/>
    <col min="4873" max="4873" width="4.28515625" style="223" customWidth="1"/>
    <col min="4874" max="4874" width="12.7109375" style="223" customWidth="1"/>
    <col min="4875" max="4875" width="12" style="223" customWidth="1"/>
    <col min="4876" max="4876" width="7" style="223" customWidth="1"/>
    <col min="4877" max="5122" width="9.140625" style="223"/>
    <col min="5123" max="5123" width="9.140625" style="223" customWidth="1"/>
    <col min="5124" max="5124" width="9.140625" style="223"/>
    <col min="5125" max="5125" width="8.140625" style="223" customWidth="1"/>
    <col min="5126" max="5126" width="10.140625" style="223" customWidth="1"/>
    <col min="5127" max="5127" width="10.5703125" style="223" customWidth="1"/>
    <col min="5128" max="5128" width="7.7109375" style="223" customWidth="1"/>
    <col min="5129" max="5129" width="4.28515625" style="223" customWidth="1"/>
    <col min="5130" max="5130" width="12.7109375" style="223" customWidth="1"/>
    <col min="5131" max="5131" width="12" style="223" customWidth="1"/>
    <col min="5132" max="5132" width="7" style="223" customWidth="1"/>
    <col min="5133" max="5378" width="9.140625" style="223"/>
    <col min="5379" max="5379" width="9.140625" style="223" customWidth="1"/>
    <col min="5380" max="5380" width="9.140625" style="223"/>
    <col min="5381" max="5381" width="8.140625" style="223" customWidth="1"/>
    <col min="5382" max="5382" width="10.140625" style="223" customWidth="1"/>
    <col min="5383" max="5383" width="10.5703125" style="223" customWidth="1"/>
    <col min="5384" max="5384" width="7.7109375" style="223" customWidth="1"/>
    <col min="5385" max="5385" width="4.28515625" style="223" customWidth="1"/>
    <col min="5386" max="5386" width="12.7109375" style="223" customWidth="1"/>
    <col min="5387" max="5387" width="12" style="223" customWidth="1"/>
    <col min="5388" max="5388" width="7" style="223" customWidth="1"/>
    <col min="5389" max="5634" width="9.140625" style="223"/>
    <col min="5635" max="5635" width="9.140625" style="223" customWidth="1"/>
    <col min="5636" max="5636" width="9.140625" style="223"/>
    <col min="5637" max="5637" width="8.140625" style="223" customWidth="1"/>
    <col min="5638" max="5638" width="10.140625" style="223" customWidth="1"/>
    <col min="5639" max="5639" width="10.5703125" style="223" customWidth="1"/>
    <col min="5640" max="5640" width="7.7109375" style="223" customWidth="1"/>
    <col min="5641" max="5641" width="4.28515625" style="223" customWidth="1"/>
    <col min="5642" max="5642" width="12.7109375" style="223" customWidth="1"/>
    <col min="5643" max="5643" width="12" style="223" customWidth="1"/>
    <col min="5644" max="5644" width="7" style="223" customWidth="1"/>
    <col min="5645" max="5890" width="9.140625" style="223"/>
    <col min="5891" max="5891" width="9.140625" style="223" customWidth="1"/>
    <col min="5892" max="5892" width="9.140625" style="223"/>
    <col min="5893" max="5893" width="8.140625" style="223" customWidth="1"/>
    <col min="5894" max="5894" width="10.140625" style="223" customWidth="1"/>
    <col min="5895" max="5895" width="10.5703125" style="223" customWidth="1"/>
    <col min="5896" max="5896" width="7.7109375" style="223" customWidth="1"/>
    <col min="5897" max="5897" width="4.28515625" style="223" customWidth="1"/>
    <col min="5898" max="5898" width="12.7109375" style="223" customWidth="1"/>
    <col min="5899" max="5899" width="12" style="223" customWidth="1"/>
    <col min="5900" max="5900" width="7" style="223" customWidth="1"/>
    <col min="5901" max="6146" width="9.140625" style="223"/>
    <col min="6147" max="6147" width="9.140625" style="223" customWidth="1"/>
    <col min="6148" max="6148" width="9.140625" style="223"/>
    <col min="6149" max="6149" width="8.140625" style="223" customWidth="1"/>
    <col min="6150" max="6150" width="10.140625" style="223" customWidth="1"/>
    <col min="6151" max="6151" width="10.5703125" style="223" customWidth="1"/>
    <col min="6152" max="6152" width="7.7109375" style="223" customWidth="1"/>
    <col min="6153" max="6153" width="4.28515625" style="223" customWidth="1"/>
    <col min="6154" max="6154" width="12.7109375" style="223" customWidth="1"/>
    <col min="6155" max="6155" width="12" style="223" customWidth="1"/>
    <col min="6156" max="6156" width="7" style="223" customWidth="1"/>
    <col min="6157" max="6402" width="9.140625" style="223"/>
    <col min="6403" max="6403" width="9.140625" style="223" customWidth="1"/>
    <col min="6404" max="6404" width="9.140625" style="223"/>
    <col min="6405" max="6405" width="8.140625" style="223" customWidth="1"/>
    <col min="6406" max="6406" width="10.140625" style="223" customWidth="1"/>
    <col min="6407" max="6407" width="10.5703125" style="223" customWidth="1"/>
    <col min="6408" max="6408" width="7.7109375" style="223" customWidth="1"/>
    <col min="6409" max="6409" width="4.28515625" style="223" customWidth="1"/>
    <col min="6410" max="6410" width="12.7109375" style="223" customWidth="1"/>
    <col min="6411" max="6411" width="12" style="223" customWidth="1"/>
    <col min="6412" max="6412" width="7" style="223" customWidth="1"/>
    <col min="6413" max="6658" width="9.140625" style="223"/>
    <col min="6659" max="6659" width="9.140625" style="223" customWidth="1"/>
    <col min="6660" max="6660" width="9.140625" style="223"/>
    <col min="6661" max="6661" width="8.140625" style="223" customWidth="1"/>
    <col min="6662" max="6662" width="10.140625" style="223" customWidth="1"/>
    <col min="6663" max="6663" width="10.5703125" style="223" customWidth="1"/>
    <col min="6664" max="6664" width="7.7109375" style="223" customWidth="1"/>
    <col min="6665" max="6665" width="4.28515625" style="223" customWidth="1"/>
    <col min="6666" max="6666" width="12.7109375" style="223" customWidth="1"/>
    <col min="6667" max="6667" width="12" style="223" customWidth="1"/>
    <col min="6668" max="6668" width="7" style="223" customWidth="1"/>
    <col min="6669" max="6914" width="9.140625" style="223"/>
    <col min="6915" max="6915" width="9.140625" style="223" customWidth="1"/>
    <col min="6916" max="6916" width="9.140625" style="223"/>
    <col min="6917" max="6917" width="8.140625" style="223" customWidth="1"/>
    <col min="6918" max="6918" width="10.140625" style="223" customWidth="1"/>
    <col min="6919" max="6919" width="10.5703125" style="223" customWidth="1"/>
    <col min="6920" max="6920" width="7.7109375" style="223" customWidth="1"/>
    <col min="6921" max="6921" width="4.28515625" style="223" customWidth="1"/>
    <col min="6922" max="6922" width="12.7109375" style="223" customWidth="1"/>
    <col min="6923" max="6923" width="12" style="223" customWidth="1"/>
    <col min="6924" max="6924" width="7" style="223" customWidth="1"/>
    <col min="6925" max="7170" width="9.140625" style="223"/>
    <col min="7171" max="7171" width="9.140625" style="223" customWidth="1"/>
    <col min="7172" max="7172" width="9.140625" style="223"/>
    <col min="7173" max="7173" width="8.140625" style="223" customWidth="1"/>
    <col min="7174" max="7174" width="10.140625" style="223" customWidth="1"/>
    <col min="7175" max="7175" width="10.5703125" style="223" customWidth="1"/>
    <col min="7176" max="7176" width="7.7109375" style="223" customWidth="1"/>
    <col min="7177" max="7177" width="4.28515625" style="223" customWidth="1"/>
    <col min="7178" max="7178" width="12.7109375" style="223" customWidth="1"/>
    <col min="7179" max="7179" width="12" style="223" customWidth="1"/>
    <col min="7180" max="7180" width="7" style="223" customWidth="1"/>
    <col min="7181" max="7426" width="9.140625" style="223"/>
    <col min="7427" max="7427" width="9.140625" style="223" customWidth="1"/>
    <col min="7428" max="7428" width="9.140625" style="223"/>
    <col min="7429" max="7429" width="8.140625" style="223" customWidth="1"/>
    <col min="7430" max="7430" width="10.140625" style="223" customWidth="1"/>
    <col min="7431" max="7431" width="10.5703125" style="223" customWidth="1"/>
    <col min="7432" max="7432" width="7.7109375" style="223" customWidth="1"/>
    <col min="7433" max="7433" width="4.28515625" style="223" customWidth="1"/>
    <col min="7434" max="7434" width="12.7109375" style="223" customWidth="1"/>
    <col min="7435" max="7435" width="12" style="223" customWidth="1"/>
    <col min="7436" max="7436" width="7" style="223" customWidth="1"/>
    <col min="7437" max="7682" width="9.140625" style="223"/>
    <col min="7683" max="7683" width="9.140625" style="223" customWidth="1"/>
    <col min="7684" max="7684" width="9.140625" style="223"/>
    <col min="7685" max="7685" width="8.140625" style="223" customWidth="1"/>
    <col min="7686" max="7686" width="10.140625" style="223" customWidth="1"/>
    <col min="7687" max="7687" width="10.5703125" style="223" customWidth="1"/>
    <col min="7688" max="7688" width="7.7109375" style="223" customWidth="1"/>
    <col min="7689" max="7689" width="4.28515625" style="223" customWidth="1"/>
    <col min="7690" max="7690" width="12.7109375" style="223" customWidth="1"/>
    <col min="7691" max="7691" width="12" style="223" customWidth="1"/>
    <col min="7692" max="7692" width="7" style="223" customWidth="1"/>
    <col min="7693" max="7938" width="9.140625" style="223"/>
    <col min="7939" max="7939" width="9.140625" style="223" customWidth="1"/>
    <col min="7940" max="7940" width="9.140625" style="223"/>
    <col min="7941" max="7941" width="8.140625" style="223" customWidth="1"/>
    <col min="7942" max="7942" width="10.140625" style="223" customWidth="1"/>
    <col min="7943" max="7943" width="10.5703125" style="223" customWidth="1"/>
    <col min="7944" max="7944" width="7.7109375" style="223" customWidth="1"/>
    <col min="7945" max="7945" width="4.28515625" style="223" customWidth="1"/>
    <col min="7946" max="7946" width="12.7109375" style="223" customWidth="1"/>
    <col min="7947" max="7947" width="12" style="223" customWidth="1"/>
    <col min="7948" max="7948" width="7" style="223" customWidth="1"/>
    <col min="7949" max="8194" width="9.140625" style="223"/>
    <col min="8195" max="8195" width="9.140625" style="223" customWidth="1"/>
    <col min="8196" max="8196" width="9.140625" style="223"/>
    <col min="8197" max="8197" width="8.140625" style="223" customWidth="1"/>
    <col min="8198" max="8198" width="10.140625" style="223" customWidth="1"/>
    <col min="8199" max="8199" width="10.5703125" style="223" customWidth="1"/>
    <col min="8200" max="8200" width="7.7109375" style="223" customWidth="1"/>
    <col min="8201" max="8201" width="4.28515625" style="223" customWidth="1"/>
    <col min="8202" max="8202" width="12.7109375" style="223" customWidth="1"/>
    <col min="8203" max="8203" width="12" style="223" customWidth="1"/>
    <col min="8204" max="8204" width="7" style="223" customWidth="1"/>
    <col min="8205" max="8450" width="9.140625" style="223"/>
    <col min="8451" max="8451" width="9.140625" style="223" customWidth="1"/>
    <col min="8452" max="8452" width="9.140625" style="223"/>
    <col min="8453" max="8453" width="8.140625" style="223" customWidth="1"/>
    <col min="8454" max="8454" width="10.140625" style="223" customWidth="1"/>
    <col min="8455" max="8455" width="10.5703125" style="223" customWidth="1"/>
    <col min="8456" max="8456" width="7.7109375" style="223" customWidth="1"/>
    <col min="8457" max="8457" width="4.28515625" style="223" customWidth="1"/>
    <col min="8458" max="8458" width="12.7109375" style="223" customWidth="1"/>
    <col min="8459" max="8459" width="12" style="223" customWidth="1"/>
    <col min="8460" max="8460" width="7" style="223" customWidth="1"/>
    <col min="8461" max="8706" width="9.140625" style="223"/>
    <col min="8707" max="8707" width="9.140625" style="223" customWidth="1"/>
    <col min="8708" max="8708" width="9.140625" style="223"/>
    <col min="8709" max="8709" width="8.140625" style="223" customWidth="1"/>
    <col min="8710" max="8710" width="10.140625" style="223" customWidth="1"/>
    <col min="8711" max="8711" width="10.5703125" style="223" customWidth="1"/>
    <col min="8712" max="8712" width="7.7109375" style="223" customWidth="1"/>
    <col min="8713" max="8713" width="4.28515625" style="223" customWidth="1"/>
    <col min="8714" max="8714" width="12.7109375" style="223" customWidth="1"/>
    <col min="8715" max="8715" width="12" style="223" customWidth="1"/>
    <col min="8716" max="8716" width="7" style="223" customWidth="1"/>
    <col min="8717" max="8962" width="9.140625" style="223"/>
    <col min="8963" max="8963" width="9.140625" style="223" customWidth="1"/>
    <col min="8964" max="8964" width="9.140625" style="223"/>
    <col min="8965" max="8965" width="8.140625" style="223" customWidth="1"/>
    <col min="8966" max="8966" width="10.140625" style="223" customWidth="1"/>
    <col min="8967" max="8967" width="10.5703125" style="223" customWidth="1"/>
    <col min="8968" max="8968" width="7.7109375" style="223" customWidth="1"/>
    <col min="8969" max="8969" width="4.28515625" style="223" customWidth="1"/>
    <col min="8970" max="8970" width="12.7109375" style="223" customWidth="1"/>
    <col min="8971" max="8971" width="12" style="223" customWidth="1"/>
    <col min="8972" max="8972" width="7" style="223" customWidth="1"/>
    <col min="8973" max="9218" width="9.140625" style="223"/>
    <col min="9219" max="9219" width="9.140625" style="223" customWidth="1"/>
    <col min="9220" max="9220" width="9.140625" style="223"/>
    <col min="9221" max="9221" width="8.140625" style="223" customWidth="1"/>
    <col min="9222" max="9222" width="10.140625" style="223" customWidth="1"/>
    <col min="9223" max="9223" width="10.5703125" style="223" customWidth="1"/>
    <col min="9224" max="9224" width="7.7109375" style="223" customWidth="1"/>
    <col min="9225" max="9225" width="4.28515625" style="223" customWidth="1"/>
    <col min="9226" max="9226" width="12.7109375" style="223" customWidth="1"/>
    <col min="9227" max="9227" width="12" style="223" customWidth="1"/>
    <col min="9228" max="9228" width="7" style="223" customWidth="1"/>
    <col min="9229" max="9474" width="9.140625" style="223"/>
    <col min="9475" max="9475" width="9.140625" style="223" customWidth="1"/>
    <col min="9476" max="9476" width="9.140625" style="223"/>
    <col min="9477" max="9477" width="8.140625" style="223" customWidth="1"/>
    <col min="9478" max="9478" width="10.140625" style="223" customWidth="1"/>
    <col min="9479" max="9479" width="10.5703125" style="223" customWidth="1"/>
    <col min="9480" max="9480" width="7.7109375" style="223" customWidth="1"/>
    <col min="9481" max="9481" width="4.28515625" style="223" customWidth="1"/>
    <col min="9482" max="9482" width="12.7109375" style="223" customWidth="1"/>
    <col min="9483" max="9483" width="12" style="223" customWidth="1"/>
    <col min="9484" max="9484" width="7" style="223" customWidth="1"/>
    <col min="9485" max="9730" width="9.140625" style="223"/>
    <col min="9731" max="9731" width="9.140625" style="223" customWidth="1"/>
    <col min="9732" max="9732" width="9.140625" style="223"/>
    <col min="9733" max="9733" width="8.140625" style="223" customWidth="1"/>
    <col min="9734" max="9734" width="10.140625" style="223" customWidth="1"/>
    <col min="9735" max="9735" width="10.5703125" style="223" customWidth="1"/>
    <col min="9736" max="9736" width="7.7109375" style="223" customWidth="1"/>
    <col min="9737" max="9737" width="4.28515625" style="223" customWidth="1"/>
    <col min="9738" max="9738" width="12.7109375" style="223" customWidth="1"/>
    <col min="9739" max="9739" width="12" style="223" customWidth="1"/>
    <col min="9740" max="9740" width="7" style="223" customWidth="1"/>
    <col min="9741" max="9986" width="9.140625" style="223"/>
    <col min="9987" max="9987" width="9.140625" style="223" customWidth="1"/>
    <col min="9988" max="9988" width="9.140625" style="223"/>
    <col min="9989" max="9989" width="8.140625" style="223" customWidth="1"/>
    <col min="9990" max="9990" width="10.140625" style="223" customWidth="1"/>
    <col min="9991" max="9991" width="10.5703125" style="223" customWidth="1"/>
    <col min="9992" max="9992" width="7.7109375" style="223" customWidth="1"/>
    <col min="9993" max="9993" width="4.28515625" style="223" customWidth="1"/>
    <col min="9994" max="9994" width="12.7109375" style="223" customWidth="1"/>
    <col min="9995" max="9995" width="12" style="223" customWidth="1"/>
    <col min="9996" max="9996" width="7" style="223" customWidth="1"/>
    <col min="9997" max="10242" width="9.140625" style="223"/>
    <col min="10243" max="10243" width="9.140625" style="223" customWidth="1"/>
    <col min="10244" max="10244" width="9.140625" style="223"/>
    <col min="10245" max="10245" width="8.140625" style="223" customWidth="1"/>
    <col min="10246" max="10246" width="10.140625" style="223" customWidth="1"/>
    <col min="10247" max="10247" width="10.5703125" style="223" customWidth="1"/>
    <col min="10248" max="10248" width="7.7109375" style="223" customWidth="1"/>
    <col min="10249" max="10249" width="4.28515625" style="223" customWidth="1"/>
    <col min="10250" max="10250" width="12.7109375" style="223" customWidth="1"/>
    <col min="10251" max="10251" width="12" style="223" customWidth="1"/>
    <col min="10252" max="10252" width="7" style="223" customWidth="1"/>
    <col min="10253" max="10498" width="9.140625" style="223"/>
    <col min="10499" max="10499" width="9.140625" style="223" customWidth="1"/>
    <col min="10500" max="10500" width="9.140625" style="223"/>
    <col min="10501" max="10501" width="8.140625" style="223" customWidth="1"/>
    <col min="10502" max="10502" width="10.140625" style="223" customWidth="1"/>
    <col min="10503" max="10503" width="10.5703125" style="223" customWidth="1"/>
    <col min="10504" max="10504" width="7.7109375" style="223" customWidth="1"/>
    <col min="10505" max="10505" width="4.28515625" style="223" customWidth="1"/>
    <col min="10506" max="10506" width="12.7109375" style="223" customWidth="1"/>
    <col min="10507" max="10507" width="12" style="223" customWidth="1"/>
    <col min="10508" max="10508" width="7" style="223" customWidth="1"/>
    <col min="10509" max="10754" width="9.140625" style="223"/>
    <col min="10755" max="10755" width="9.140625" style="223" customWidth="1"/>
    <col min="10756" max="10756" width="9.140625" style="223"/>
    <col min="10757" max="10757" width="8.140625" style="223" customWidth="1"/>
    <col min="10758" max="10758" width="10.140625" style="223" customWidth="1"/>
    <col min="10759" max="10759" width="10.5703125" style="223" customWidth="1"/>
    <col min="10760" max="10760" width="7.7109375" style="223" customWidth="1"/>
    <col min="10761" max="10761" width="4.28515625" style="223" customWidth="1"/>
    <col min="10762" max="10762" width="12.7109375" style="223" customWidth="1"/>
    <col min="10763" max="10763" width="12" style="223" customWidth="1"/>
    <col min="10764" max="10764" width="7" style="223" customWidth="1"/>
    <col min="10765" max="11010" width="9.140625" style="223"/>
    <col min="11011" max="11011" width="9.140625" style="223" customWidth="1"/>
    <col min="11012" max="11012" width="9.140625" style="223"/>
    <col min="11013" max="11013" width="8.140625" style="223" customWidth="1"/>
    <col min="11014" max="11014" width="10.140625" style="223" customWidth="1"/>
    <col min="11015" max="11015" width="10.5703125" style="223" customWidth="1"/>
    <col min="11016" max="11016" width="7.7109375" style="223" customWidth="1"/>
    <col min="11017" max="11017" width="4.28515625" style="223" customWidth="1"/>
    <col min="11018" max="11018" width="12.7109375" style="223" customWidth="1"/>
    <col min="11019" max="11019" width="12" style="223" customWidth="1"/>
    <col min="11020" max="11020" width="7" style="223" customWidth="1"/>
    <col min="11021" max="11266" width="9.140625" style="223"/>
    <col min="11267" max="11267" width="9.140625" style="223" customWidth="1"/>
    <col min="11268" max="11268" width="9.140625" style="223"/>
    <col min="11269" max="11269" width="8.140625" style="223" customWidth="1"/>
    <col min="11270" max="11270" width="10.140625" style="223" customWidth="1"/>
    <col min="11271" max="11271" width="10.5703125" style="223" customWidth="1"/>
    <col min="11272" max="11272" width="7.7109375" style="223" customWidth="1"/>
    <col min="11273" max="11273" width="4.28515625" style="223" customWidth="1"/>
    <col min="11274" max="11274" width="12.7109375" style="223" customWidth="1"/>
    <col min="11275" max="11275" width="12" style="223" customWidth="1"/>
    <col min="11276" max="11276" width="7" style="223" customWidth="1"/>
    <col min="11277" max="11522" width="9.140625" style="223"/>
    <col min="11523" max="11523" width="9.140625" style="223" customWidth="1"/>
    <col min="11524" max="11524" width="9.140625" style="223"/>
    <col min="11525" max="11525" width="8.140625" style="223" customWidth="1"/>
    <col min="11526" max="11526" width="10.140625" style="223" customWidth="1"/>
    <col min="11527" max="11527" width="10.5703125" style="223" customWidth="1"/>
    <col min="11528" max="11528" width="7.7109375" style="223" customWidth="1"/>
    <col min="11529" max="11529" width="4.28515625" style="223" customWidth="1"/>
    <col min="11530" max="11530" width="12.7109375" style="223" customWidth="1"/>
    <col min="11531" max="11531" width="12" style="223" customWidth="1"/>
    <col min="11532" max="11532" width="7" style="223" customWidth="1"/>
    <col min="11533" max="11778" width="9.140625" style="223"/>
    <col min="11779" max="11779" width="9.140625" style="223" customWidth="1"/>
    <col min="11780" max="11780" width="9.140625" style="223"/>
    <col min="11781" max="11781" width="8.140625" style="223" customWidth="1"/>
    <col min="11782" max="11782" width="10.140625" style="223" customWidth="1"/>
    <col min="11783" max="11783" width="10.5703125" style="223" customWidth="1"/>
    <col min="11784" max="11784" width="7.7109375" style="223" customWidth="1"/>
    <col min="11785" max="11785" width="4.28515625" style="223" customWidth="1"/>
    <col min="11786" max="11786" width="12.7109375" style="223" customWidth="1"/>
    <col min="11787" max="11787" width="12" style="223" customWidth="1"/>
    <col min="11788" max="11788" width="7" style="223" customWidth="1"/>
    <col min="11789" max="12034" width="9.140625" style="223"/>
    <col min="12035" max="12035" width="9.140625" style="223" customWidth="1"/>
    <col min="12036" max="12036" width="9.140625" style="223"/>
    <col min="12037" max="12037" width="8.140625" style="223" customWidth="1"/>
    <col min="12038" max="12038" width="10.140625" style="223" customWidth="1"/>
    <col min="12039" max="12039" width="10.5703125" style="223" customWidth="1"/>
    <col min="12040" max="12040" width="7.7109375" style="223" customWidth="1"/>
    <col min="12041" max="12041" width="4.28515625" style="223" customWidth="1"/>
    <col min="12042" max="12042" width="12.7109375" style="223" customWidth="1"/>
    <col min="12043" max="12043" width="12" style="223" customWidth="1"/>
    <col min="12044" max="12044" width="7" style="223" customWidth="1"/>
    <col min="12045" max="12290" width="9.140625" style="223"/>
    <col min="12291" max="12291" width="9.140625" style="223" customWidth="1"/>
    <col min="12292" max="12292" width="9.140625" style="223"/>
    <col min="12293" max="12293" width="8.140625" style="223" customWidth="1"/>
    <col min="12294" max="12294" width="10.140625" style="223" customWidth="1"/>
    <col min="12295" max="12295" width="10.5703125" style="223" customWidth="1"/>
    <col min="12296" max="12296" width="7.7109375" style="223" customWidth="1"/>
    <col min="12297" max="12297" width="4.28515625" style="223" customWidth="1"/>
    <col min="12298" max="12298" width="12.7109375" style="223" customWidth="1"/>
    <col min="12299" max="12299" width="12" style="223" customWidth="1"/>
    <col min="12300" max="12300" width="7" style="223" customWidth="1"/>
    <col min="12301" max="12546" width="9.140625" style="223"/>
    <col min="12547" max="12547" width="9.140625" style="223" customWidth="1"/>
    <col min="12548" max="12548" width="9.140625" style="223"/>
    <col min="12549" max="12549" width="8.140625" style="223" customWidth="1"/>
    <col min="12550" max="12550" width="10.140625" style="223" customWidth="1"/>
    <col min="12551" max="12551" width="10.5703125" style="223" customWidth="1"/>
    <col min="12552" max="12552" width="7.7109375" style="223" customWidth="1"/>
    <col min="12553" max="12553" width="4.28515625" style="223" customWidth="1"/>
    <col min="12554" max="12554" width="12.7109375" style="223" customWidth="1"/>
    <col min="12555" max="12555" width="12" style="223" customWidth="1"/>
    <col min="12556" max="12556" width="7" style="223" customWidth="1"/>
    <col min="12557" max="12802" width="9.140625" style="223"/>
    <col min="12803" max="12803" width="9.140625" style="223" customWidth="1"/>
    <col min="12804" max="12804" width="9.140625" style="223"/>
    <col min="12805" max="12805" width="8.140625" style="223" customWidth="1"/>
    <col min="12806" max="12806" width="10.140625" style="223" customWidth="1"/>
    <col min="12807" max="12807" width="10.5703125" style="223" customWidth="1"/>
    <col min="12808" max="12808" width="7.7109375" style="223" customWidth="1"/>
    <col min="12809" max="12809" width="4.28515625" style="223" customWidth="1"/>
    <col min="12810" max="12810" width="12.7109375" style="223" customWidth="1"/>
    <col min="12811" max="12811" width="12" style="223" customWidth="1"/>
    <col min="12812" max="12812" width="7" style="223" customWidth="1"/>
    <col min="12813" max="13058" width="9.140625" style="223"/>
    <col min="13059" max="13059" width="9.140625" style="223" customWidth="1"/>
    <col min="13060" max="13060" width="9.140625" style="223"/>
    <col min="13061" max="13061" width="8.140625" style="223" customWidth="1"/>
    <col min="13062" max="13062" width="10.140625" style="223" customWidth="1"/>
    <col min="13063" max="13063" width="10.5703125" style="223" customWidth="1"/>
    <col min="13064" max="13064" width="7.7109375" style="223" customWidth="1"/>
    <col min="13065" max="13065" width="4.28515625" style="223" customWidth="1"/>
    <col min="13066" max="13066" width="12.7109375" style="223" customWidth="1"/>
    <col min="13067" max="13067" width="12" style="223" customWidth="1"/>
    <col min="13068" max="13068" width="7" style="223" customWidth="1"/>
    <col min="13069" max="13314" width="9.140625" style="223"/>
    <col min="13315" max="13315" width="9.140625" style="223" customWidth="1"/>
    <col min="13316" max="13316" width="9.140625" style="223"/>
    <col min="13317" max="13317" width="8.140625" style="223" customWidth="1"/>
    <col min="13318" max="13318" width="10.140625" style="223" customWidth="1"/>
    <col min="13319" max="13319" width="10.5703125" style="223" customWidth="1"/>
    <col min="13320" max="13320" width="7.7109375" style="223" customWidth="1"/>
    <col min="13321" max="13321" width="4.28515625" style="223" customWidth="1"/>
    <col min="13322" max="13322" width="12.7109375" style="223" customWidth="1"/>
    <col min="13323" max="13323" width="12" style="223" customWidth="1"/>
    <col min="13324" max="13324" width="7" style="223" customWidth="1"/>
    <col min="13325" max="13570" width="9.140625" style="223"/>
    <col min="13571" max="13571" width="9.140625" style="223" customWidth="1"/>
    <col min="13572" max="13572" width="9.140625" style="223"/>
    <col min="13573" max="13573" width="8.140625" style="223" customWidth="1"/>
    <col min="13574" max="13574" width="10.140625" style="223" customWidth="1"/>
    <col min="13575" max="13575" width="10.5703125" style="223" customWidth="1"/>
    <col min="13576" max="13576" width="7.7109375" style="223" customWidth="1"/>
    <col min="13577" max="13577" width="4.28515625" style="223" customWidth="1"/>
    <col min="13578" max="13578" width="12.7109375" style="223" customWidth="1"/>
    <col min="13579" max="13579" width="12" style="223" customWidth="1"/>
    <col min="13580" max="13580" width="7" style="223" customWidth="1"/>
    <col min="13581" max="13826" width="9.140625" style="223"/>
    <col min="13827" max="13827" width="9.140625" style="223" customWidth="1"/>
    <col min="13828" max="13828" width="9.140625" style="223"/>
    <col min="13829" max="13829" width="8.140625" style="223" customWidth="1"/>
    <col min="13830" max="13830" width="10.140625" style="223" customWidth="1"/>
    <col min="13831" max="13831" width="10.5703125" style="223" customWidth="1"/>
    <col min="13832" max="13832" width="7.7109375" style="223" customWidth="1"/>
    <col min="13833" max="13833" width="4.28515625" style="223" customWidth="1"/>
    <col min="13834" max="13834" width="12.7109375" style="223" customWidth="1"/>
    <col min="13835" max="13835" width="12" style="223" customWidth="1"/>
    <col min="13836" max="13836" width="7" style="223" customWidth="1"/>
    <col min="13837" max="14082" width="9.140625" style="223"/>
    <col min="14083" max="14083" width="9.140625" style="223" customWidth="1"/>
    <col min="14084" max="14084" width="9.140625" style="223"/>
    <col min="14085" max="14085" width="8.140625" style="223" customWidth="1"/>
    <col min="14086" max="14086" width="10.140625" style="223" customWidth="1"/>
    <col min="14087" max="14087" width="10.5703125" style="223" customWidth="1"/>
    <col min="14088" max="14088" width="7.7109375" style="223" customWidth="1"/>
    <col min="14089" max="14089" width="4.28515625" style="223" customWidth="1"/>
    <col min="14090" max="14090" width="12.7109375" style="223" customWidth="1"/>
    <col min="14091" max="14091" width="12" style="223" customWidth="1"/>
    <col min="14092" max="14092" width="7" style="223" customWidth="1"/>
    <col min="14093" max="14338" width="9.140625" style="223"/>
    <col min="14339" max="14339" width="9.140625" style="223" customWidth="1"/>
    <col min="14340" max="14340" width="9.140625" style="223"/>
    <col min="14341" max="14341" width="8.140625" style="223" customWidth="1"/>
    <col min="14342" max="14342" width="10.140625" style="223" customWidth="1"/>
    <col min="14343" max="14343" width="10.5703125" style="223" customWidth="1"/>
    <col min="14344" max="14344" width="7.7109375" style="223" customWidth="1"/>
    <col min="14345" max="14345" width="4.28515625" style="223" customWidth="1"/>
    <col min="14346" max="14346" width="12.7109375" style="223" customWidth="1"/>
    <col min="14347" max="14347" width="12" style="223" customWidth="1"/>
    <col min="14348" max="14348" width="7" style="223" customWidth="1"/>
    <col min="14349" max="14594" width="9.140625" style="223"/>
    <col min="14595" max="14595" width="9.140625" style="223" customWidth="1"/>
    <col min="14596" max="14596" width="9.140625" style="223"/>
    <col min="14597" max="14597" width="8.140625" style="223" customWidth="1"/>
    <col min="14598" max="14598" width="10.140625" style="223" customWidth="1"/>
    <col min="14599" max="14599" width="10.5703125" style="223" customWidth="1"/>
    <col min="14600" max="14600" width="7.7109375" style="223" customWidth="1"/>
    <col min="14601" max="14601" width="4.28515625" style="223" customWidth="1"/>
    <col min="14602" max="14602" width="12.7109375" style="223" customWidth="1"/>
    <col min="14603" max="14603" width="12" style="223" customWidth="1"/>
    <col min="14604" max="14604" width="7" style="223" customWidth="1"/>
    <col min="14605" max="14850" width="9.140625" style="223"/>
    <col min="14851" max="14851" width="9.140625" style="223" customWidth="1"/>
    <col min="14852" max="14852" width="9.140625" style="223"/>
    <col min="14853" max="14853" width="8.140625" style="223" customWidth="1"/>
    <col min="14854" max="14854" width="10.140625" style="223" customWidth="1"/>
    <col min="14855" max="14855" width="10.5703125" style="223" customWidth="1"/>
    <col min="14856" max="14856" width="7.7109375" style="223" customWidth="1"/>
    <col min="14857" max="14857" width="4.28515625" style="223" customWidth="1"/>
    <col min="14858" max="14858" width="12.7109375" style="223" customWidth="1"/>
    <col min="14859" max="14859" width="12" style="223" customWidth="1"/>
    <col min="14860" max="14860" width="7" style="223" customWidth="1"/>
    <col min="14861" max="15106" width="9.140625" style="223"/>
    <col min="15107" max="15107" width="9.140625" style="223" customWidth="1"/>
    <col min="15108" max="15108" width="9.140625" style="223"/>
    <col min="15109" max="15109" width="8.140625" style="223" customWidth="1"/>
    <col min="15110" max="15110" width="10.140625" style="223" customWidth="1"/>
    <col min="15111" max="15111" width="10.5703125" style="223" customWidth="1"/>
    <col min="15112" max="15112" width="7.7109375" style="223" customWidth="1"/>
    <col min="15113" max="15113" width="4.28515625" style="223" customWidth="1"/>
    <col min="15114" max="15114" width="12.7109375" style="223" customWidth="1"/>
    <col min="15115" max="15115" width="12" style="223" customWidth="1"/>
    <col min="15116" max="15116" width="7" style="223" customWidth="1"/>
    <col min="15117" max="15362" width="9.140625" style="223"/>
    <col min="15363" max="15363" width="9.140625" style="223" customWidth="1"/>
    <col min="15364" max="15364" width="9.140625" style="223"/>
    <col min="15365" max="15365" width="8.140625" style="223" customWidth="1"/>
    <col min="15366" max="15366" width="10.140625" style="223" customWidth="1"/>
    <col min="15367" max="15367" width="10.5703125" style="223" customWidth="1"/>
    <col min="15368" max="15368" width="7.7109375" style="223" customWidth="1"/>
    <col min="15369" max="15369" width="4.28515625" style="223" customWidth="1"/>
    <col min="15370" max="15370" width="12.7109375" style="223" customWidth="1"/>
    <col min="15371" max="15371" width="12" style="223" customWidth="1"/>
    <col min="15372" max="15372" width="7" style="223" customWidth="1"/>
    <col min="15373" max="15618" width="9.140625" style="223"/>
    <col min="15619" max="15619" width="9.140625" style="223" customWidth="1"/>
    <col min="15620" max="15620" width="9.140625" style="223"/>
    <col min="15621" max="15621" width="8.140625" style="223" customWidth="1"/>
    <col min="15622" max="15622" width="10.140625" style="223" customWidth="1"/>
    <col min="15623" max="15623" width="10.5703125" style="223" customWidth="1"/>
    <col min="15624" max="15624" width="7.7109375" style="223" customWidth="1"/>
    <col min="15625" max="15625" width="4.28515625" style="223" customWidth="1"/>
    <col min="15626" max="15626" width="12.7109375" style="223" customWidth="1"/>
    <col min="15627" max="15627" width="12" style="223" customWidth="1"/>
    <col min="15628" max="15628" width="7" style="223" customWidth="1"/>
    <col min="15629" max="15874" width="9.140625" style="223"/>
    <col min="15875" max="15875" width="9.140625" style="223" customWidth="1"/>
    <col min="15876" max="15876" width="9.140625" style="223"/>
    <col min="15877" max="15877" width="8.140625" style="223" customWidth="1"/>
    <col min="15878" max="15878" width="10.140625" style="223" customWidth="1"/>
    <col min="15879" max="15879" width="10.5703125" style="223" customWidth="1"/>
    <col min="15880" max="15880" width="7.7109375" style="223" customWidth="1"/>
    <col min="15881" max="15881" width="4.28515625" style="223" customWidth="1"/>
    <col min="15882" max="15882" width="12.7109375" style="223" customWidth="1"/>
    <col min="15883" max="15883" width="12" style="223" customWidth="1"/>
    <col min="15884" max="15884" width="7" style="223" customWidth="1"/>
    <col min="15885" max="16130" width="9.140625" style="223"/>
    <col min="16131" max="16131" width="9.140625" style="223" customWidth="1"/>
    <col min="16132" max="16132" width="9.140625" style="223"/>
    <col min="16133" max="16133" width="8.140625" style="223" customWidth="1"/>
    <col min="16134" max="16134" width="10.140625" style="223" customWidth="1"/>
    <col min="16135" max="16135" width="10.5703125" style="223" customWidth="1"/>
    <col min="16136" max="16136" width="7.7109375" style="223" customWidth="1"/>
    <col min="16137" max="16137" width="4.28515625" style="223" customWidth="1"/>
    <col min="16138" max="16138" width="12.7109375" style="223" customWidth="1"/>
    <col min="16139" max="16139" width="12" style="223" customWidth="1"/>
    <col min="16140" max="16140" width="7" style="223" customWidth="1"/>
    <col min="16141" max="16384" width="9.140625" style="223"/>
  </cols>
  <sheetData>
    <row r="2" spans="1:12" ht="15.75">
      <c r="A2" s="1184" t="s">
        <v>299</v>
      </c>
      <c r="B2" s="1184"/>
      <c r="C2" s="1184"/>
      <c r="D2" s="1184"/>
      <c r="E2" s="1184"/>
      <c r="F2" s="1184"/>
      <c r="G2" s="1184"/>
      <c r="H2" s="1184"/>
      <c r="I2" s="1184"/>
      <c r="J2" s="1184"/>
      <c r="K2" s="1184"/>
    </row>
    <row r="3" spans="1:12" ht="5.25" customHeight="1"/>
    <row r="4" spans="1:12">
      <c r="A4" s="223" t="s">
        <v>300</v>
      </c>
    </row>
    <row r="5" spans="1:12" ht="4.5" customHeight="1"/>
    <row r="6" spans="1:12">
      <c r="A6" s="223" t="s">
        <v>301</v>
      </c>
      <c r="E6" s="1185" t="str">
        <f>M.Menu!L11&amp;", "&amp;M.Menu!L12</f>
        <v>Sabine Pass, U.S.A.</v>
      </c>
      <c r="F6" s="1185"/>
      <c r="G6" s="1185"/>
      <c r="H6" s="1186" t="s">
        <v>302</v>
      </c>
      <c r="I6" s="1186"/>
      <c r="J6" s="1186"/>
      <c r="K6" s="1187">
        <f>M.Menu!L13</f>
        <v>46106</v>
      </c>
      <c r="L6" s="1187"/>
    </row>
    <row r="7" spans="1:12">
      <c r="A7" s="223" t="s">
        <v>303</v>
      </c>
      <c r="E7" s="1172" t="str">
        <f>M.Menu!E3</f>
        <v>Energy Endurance</v>
      </c>
      <c r="F7" s="1172"/>
      <c r="G7" s="1172"/>
      <c r="H7" s="1186" t="s">
        <v>304</v>
      </c>
      <c r="I7" s="1186"/>
      <c r="J7" s="1186"/>
      <c r="K7" s="1188">
        <f>M.Menu!L3</f>
        <v>9948695</v>
      </c>
      <c r="L7" s="1172"/>
    </row>
    <row r="8" spans="1:12">
      <c r="A8" s="223" t="s">
        <v>305</v>
      </c>
      <c r="E8" s="1172" t="str">
        <f>M.Menu!E11&amp;", "&amp;M.Menu!E12</f>
        <v>BARCARENA, BRAZIL</v>
      </c>
      <c r="F8" s="1172"/>
      <c r="G8" s="1172"/>
      <c r="H8" s="1186" t="s">
        <v>306</v>
      </c>
      <c r="I8" s="1186"/>
      <c r="J8" s="1186"/>
      <c r="K8" s="1189" t="str">
        <f>M.Menu!S11&amp;""&amp;M.Menu!S12</f>
        <v>BARCARENABRAZIL</v>
      </c>
      <c r="L8" s="1189"/>
    </row>
    <row r="9" spans="1:12">
      <c r="A9" s="223" t="s">
        <v>307</v>
      </c>
      <c r="E9" s="1188" t="str">
        <f>M.Menu!L8</f>
        <v>Marshall Islands</v>
      </c>
      <c r="F9" s="1172"/>
      <c r="G9" s="1172"/>
      <c r="H9" s="1186" t="s">
        <v>308</v>
      </c>
      <c r="I9" s="1186"/>
      <c r="J9" s="1186"/>
      <c r="K9" s="1190" t="str">
        <f>M.Menu!S15</f>
        <v>CAPT. WENDT ROBERT</v>
      </c>
      <c r="L9" s="1191"/>
    </row>
    <row r="10" spans="1:12">
      <c r="A10" s="223" t="s">
        <v>309</v>
      </c>
      <c r="E10" s="1172">
        <v>114195</v>
      </c>
      <c r="F10" s="1172"/>
      <c r="G10" s="1172"/>
      <c r="H10" s="224"/>
      <c r="I10" s="224"/>
      <c r="J10" s="224"/>
      <c r="K10" s="1192"/>
      <c r="L10" s="1192"/>
    </row>
    <row r="11" spans="1:12">
      <c r="A11" s="223" t="s">
        <v>310</v>
      </c>
      <c r="E11" s="1172" t="s">
        <v>115</v>
      </c>
      <c r="F11" s="1172"/>
      <c r="G11" s="1172"/>
      <c r="H11" s="224"/>
      <c r="I11" s="224"/>
      <c r="J11" s="224"/>
    </row>
    <row r="12" spans="1:12" ht="6" customHeight="1">
      <c r="H12" s="1173"/>
      <c r="I12" s="1173"/>
      <c r="J12" s="1173"/>
    </row>
    <row r="13" spans="1:12">
      <c r="A13" s="223" t="s">
        <v>311</v>
      </c>
      <c r="H13" s="223" t="s">
        <v>312</v>
      </c>
      <c r="I13" s="1174" t="s">
        <v>823</v>
      </c>
      <c r="J13" s="1175"/>
      <c r="K13" s="1182">
        <v>45954</v>
      </c>
      <c r="L13" s="1183"/>
    </row>
    <row r="14" spans="1:12" ht="6" customHeight="1"/>
    <row r="15" spans="1:12">
      <c r="A15" s="223" t="s">
        <v>313</v>
      </c>
    </row>
    <row r="16" spans="1:12">
      <c r="A16" s="223" t="s">
        <v>314</v>
      </c>
    </row>
    <row r="17" spans="1:12">
      <c r="A17" s="223" t="s">
        <v>315</v>
      </c>
      <c r="C17" s="225"/>
      <c r="D17" s="225"/>
      <c r="E17" s="225"/>
    </row>
    <row r="18" spans="1:12" ht="6" customHeight="1"/>
    <row r="19" spans="1:12">
      <c r="A19" s="223" t="s">
        <v>316</v>
      </c>
    </row>
    <row r="20" spans="1:12">
      <c r="A20" s="223">
        <v>1</v>
      </c>
      <c r="B20" s="1179" t="s">
        <v>995</v>
      </c>
      <c r="C20" s="1179"/>
      <c r="D20" s="1179"/>
      <c r="F20" s="1181"/>
      <c r="G20" s="1181"/>
      <c r="H20" s="1181"/>
      <c r="J20" s="1181"/>
      <c r="K20" s="1181"/>
      <c r="L20" s="1181"/>
    </row>
    <row r="21" spans="1:12">
      <c r="A21" s="223">
        <v>2</v>
      </c>
      <c r="B21" s="1180"/>
      <c r="C21" s="1180"/>
      <c r="D21" s="1180"/>
      <c r="F21" s="1181"/>
      <c r="G21" s="1181"/>
      <c r="H21" s="1181"/>
      <c r="J21" s="1181"/>
      <c r="K21" s="1181"/>
      <c r="L21" s="1181"/>
    </row>
    <row r="22" spans="1:12">
      <c r="A22" s="223">
        <v>3</v>
      </c>
      <c r="B22" s="1179"/>
      <c r="C22" s="1179"/>
      <c r="D22" s="1179"/>
      <c r="F22" s="1181"/>
      <c r="G22" s="1181"/>
      <c r="H22" s="1181"/>
      <c r="J22" s="1181"/>
      <c r="K22" s="1181"/>
      <c r="L22" s="1181"/>
    </row>
    <row r="23" spans="1:12">
      <c r="A23" s="223">
        <v>4</v>
      </c>
      <c r="B23" s="1179"/>
      <c r="C23" s="1179"/>
      <c r="D23" s="1179"/>
      <c r="F23" s="1181"/>
      <c r="G23" s="1181"/>
      <c r="H23" s="1181"/>
      <c r="J23" s="1181"/>
      <c r="K23" s="1181"/>
      <c r="L23" s="1181"/>
    </row>
    <row r="24" spans="1:12" ht="6" customHeight="1">
      <c r="B24" s="1171"/>
      <c r="C24" s="1171"/>
      <c r="D24" s="1171"/>
    </row>
    <row r="25" spans="1:12">
      <c r="A25" s="223" t="s">
        <v>317</v>
      </c>
    </row>
    <row r="26" spans="1:12">
      <c r="A26" s="223" t="s">
        <v>318</v>
      </c>
    </row>
    <row r="27" spans="1:12">
      <c r="A27" s="223" t="s">
        <v>319</v>
      </c>
      <c r="G27" s="226"/>
      <c r="H27" s="227"/>
    </row>
    <row r="28" spans="1:12">
      <c r="A28" s="223" t="s">
        <v>320</v>
      </c>
      <c r="B28" s="1179"/>
      <c r="C28" s="1179"/>
      <c r="D28" s="1179"/>
      <c r="E28" s="1177" t="s">
        <v>321</v>
      </c>
      <c r="F28" s="1177"/>
      <c r="G28" s="1181"/>
      <c r="H28" s="1181"/>
      <c r="I28" s="1181"/>
      <c r="J28" s="684"/>
      <c r="K28" s="223" t="s">
        <v>323</v>
      </c>
    </row>
    <row r="29" spans="1:12">
      <c r="A29" s="223" t="s">
        <v>324</v>
      </c>
      <c r="B29" s="1180"/>
      <c r="C29" s="1180"/>
      <c r="D29" s="1180"/>
      <c r="E29" s="1177" t="s">
        <v>321</v>
      </c>
      <c r="F29" s="1177"/>
      <c r="G29" s="1181"/>
      <c r="H29" s="1181"/>
      <c r="I29" s="1181"/>
      <c r="J29" s="684"/>
      <c r="K29" s="223" t="s">
        <v>323</v>
      </c>
    </row>
    <row r="30" spans="1:12">
      <c r="A30" s="223" t="s">
        <v>325</v>
      </c>
      <c r="B30" s="1179"/>
      <c r="C30" s="1179"/>
      <c r="D30" s="1179"/>
      <c r="E30" s="1177" t="s">
        <v>321</v>
      </c>
      <c r="F30" s="1177"/>
      <c r="G30" s="1181"/>
      <c r="H30" s="1181"/>
      <c r="I30" s="1181"/>
      <c r="J30" s="684"/>
      <c r="K30" s="223" t="s">
        <v>323</v>
      </c>
    </row>
    <row r="31" spans="1:12">
      <c r="A31" s="223" t="s">
        <v>326</v>
      </c>
      <c r="B31" s="1176"/>
      <c r="C31" s="1176"/>
      <c r="D31" s="1176"/>
      <c r="E31" s="1177" t="s">
        <v>321</v>
      </c>
      <c r="F31" s="1177"/>
      <c r="G31" s="1193"/>
      <c r="H31" s="1193"/>
      <c r="I31" s="223" t="s">
        <v>322</v>
      </c>
      <c r="J31" s="684"/>
      <c r="K31" s="223" t="s">
        <v>323</v>
      </c>
    </row>
    <row r="32" spans="1:12">
      <c r="A32" s="223" t="s">
        <v>327</v>
      </c>
      <c r="B32" s="1176"/>
      <c r="C32" s="1176"/>
      <c r="D32" s="1176"/>
      <c r="E32" s="1177" t="s">
        <v>321</v>
      </c>
      <c r="F32" s="1177"/>
      <c r="G32" s="1193"/>
      <c r="H32" s="1193"/>
      <c r="I32" s="223" t="s">
        <v>322</v>
      </c>
      <c r="J32" s="684"/>
      <c r="K32" s="223" t="s">
        <v>323</v>
      </c>
    </row>
    <row r="33" spans="1:13">
      <c r="A33" s="223" t="s">
        <v>328</v>
      </c>
      <c r="B33" s="1176"/>
      <c r="C33" s="1176"/>
      <c r="D33" s="1176"/>
      <c r="E33" s="1177" t="s">
        <v>321</v>
      </c>
      <c r="F33" s="1177"/>
      <c r="G33" s="1193"/>
      <c r="H33" s="1193"/>
      <c r="I33" s="223" t="s">
        <v>322</v>
      </c>
      <c r="J33" s="684"/>
      <c r="K33" s="223" t="s">
        <v>323</v>
      </c>
    </row>
    <row r="34" spans="1:13">
      <c r="A34" s="223" t="s">
        <v>329</v>
      </c>
      <c r="B34" s="1176"/>
      <c r="C34" s="1176"/>
      <c r="D34" s="1176"/>
      <c r="E34" s="1177" t="s">
        <v>321</v>
      </c>
      <c r="F34" s="1177"/>
      <c r="G34" s="1193"/>
      <c r="H34" s="1193"/>
      <c r="I34" s="223" t="s">
        <v>322</v>
      </c>
      <c r="J34" s="684"/>
      <c r="K34" s="223" t="s">
        <v>323</v>
      </c>
    </row>
    <row r="35" spans="1:13">
      <c r="A35" s="223" t="s">
        <v>365</v>
      </c>
      <c r="B35" s="1176"/>
      <c r="C35" s="1176"/>
      <c r="D35" s="1176"/>
      <c r="E35" s="1177" t="s">
        <v>321</v>
      </c>
      <c r="F35" s="1177"/>
      <c r="G35" s="1193"/>
      <c r="H35" s="1193"/>
      <c r="I35" s="223" t="s">
        <v>322</v>
      </c>
      <c r="J35" s="684"/>
      <c r="K35" s="223" t="s">
        <v>323</v>
      </c>
    </row>
    <row r="36" spans="1:13">
      <c r="A36" s="223" t="s">
        <v>366</v>
      </c>
      <c r="B36" s="1176"/>
      <c r="C36" s="1176"/>
      <c r="D36" s="1176"/>
      <c r="E36" s="1177" t="s">
        <v>321</v>
      </c>
      <c r="F36" s="1177"/>
      <c r="G36" s="1178"/>
      <c r="H36" s="1178"/>
      <c r="I36" s="223" t="s">
        <v>322</v>
      </c>
      <c r="J36" s="684"/>
      <c r="K36" s="223" t="s">
        <v>323</v>
      </c>
    </row>
    <row r="37" spans="1:13">
      <c r="A37" s="223" t="s">
        <v>367</v>
      </c>
      <c r="B37" s="1176"/>
      <c r="C37" s="1176"/>
      <c r="D37" s="1176"/>
      <c r="E37" s="1177" t="s">
        <v>321</v>
      </c>
      <c r="F37" s="1177"/>
      <c r="G37" s="1178"/>
      <c r="H37" s="1178"/>
      <c r="I37" s="223" t="s">
        <v>322</v>
      </c>
      <c r="J37" s="684"/>
      <c r="K37" s="223" t="s">
        <v>323</v>
      </c>
    </row>
    <row r="38" spans="1:13">
      <c r="A38" s="223" t="s">
        <v>330</v>
      </c>
      <c r="D38" s="289">
        <f>M.Menu!$S$7</f>
        <v>28</v>
      </c>
      <c r="E38" s="223" t="s">
        <v>331</v>
      </c>
    </row>
    <row r="39" spans="1:13">
      <c r="A39" s="223" t="s">
        <v>332</v>
      </c>
      <c r="D39" s="290">
        <v>0</v>
      </c>
      <c r="E39" s="223" t="s">
        <v>331</v>
      </c>
    </row>
    <row r="41" spans="1:13" ht="15.75">
      <c r="D41" s="1184" t="s">
        <v>333</v>
      </c>
      <c r="E41" s="1184"/>
      <c r="F41" s="1184"/>
      <c r="G41" s="1184"/>
      <c r="H41" s="1184"/>
    </row>
    <row r="42" spans="1:13">
      <c r="K42" s="223" t="s">
        <v>334</v>
      </c>
      <c r="L42" s="229" t="s">
        <v>335</v>
      </c>
    </row>
    <row r="43" spans="1:13">
      <c r="A43" s="223" t="s">
        <v>336</v>
      </c>
    </row>
    <row r="44" spans="1:13">
      <c r="A44" s="223" t="s">
        <v>337</v>
      </c>
      <c r="H44" s="230" t="s">
        <v>65</v>
      </c>
    </row>
    <row r="45" spans="1:13" ht="3" customHeight="1"/>
    <row r="46" spans="1:13">
      <c r="A46" s="223" t="s">
        <v>338</v>
      </c>
      <c r="M46" s="223" t="s">
        <v>143</v>
      </c>
    </row>
    <row r="47" spans="1:13">
      <c r="A47" s="223" t="s">
        <v>339</v>
      </c>
    </row>
    <row r="48" spans="1:13" ht="3" customHeight="1"/>
    <row r="49" spans="1:15">
      <c r="A49" s="223" t="s">
        <v>340</v>
      </c>
    </row>
    <row r="50" spans="1:15">
      <c r="A50" s="223" t="s">
        <v>341</v>
      </c>
      <c r="C50" s="270" t="s">
        <v>65</v>
      </c>
    </row>
    <row r="51" spans="1:15" ht="3" customHeight="1"/>
    <row r="52" spans="1:15">
      <c r="A52" s="223" t="s">
        <v>342</v>
      </c>
      <c r="O52" s="223" t="s">
        <v>143</v>
      </c>
    </row>
    <row r="53" spans="1:15" ht="3" customHeight="1"/>
    <row r="54" spans="1:15">
      <c r="A54" s="223" t="s">
        <v>343</v>
      </c>
    </row>
    <row r="55" spans="1:15" ht="3" customHeight="1"/>
    <row r="56" spans="1:15">
      <c r="A56" s="223" t="s">
        <v>344</v>
      </c>
    </row>
    <row r="57" spans="1:15">
      <c r="A57" s="223" t="s">
        <v>345</v>
      </c>
    </row>
    <row r="58" spans="1:15" ht="3" customHeight="1"/>
    <row r="59" spans="1:15">
      <c r="A59" s="223" t="s">
        <v>346</v>
      </c>
    </row>
    <row r="60" spans="1:15">
      <c r="A60" s="223" t="s">
        <v>347</v>
      </c>
      <c r="D60" s="231"/>
      <c r="E60" s="231"/>
      <c r="F60" s="231"/>
      <c r="G60" s="231"/>
      <c r="H60" s="231"/>
      <c r="I60" s="231"/>
      <c r="J60" s="231"/>
    </row>
    <row r="61" spans="1:15" ht="3" customHeight="1"/>
    <row r="62" spans="1:15">
      <c r="A62" s="223" t="s">
        <v>348</v>
      </c>
      <c r="I62" s="225"/>
      <c r="J62" s="225"/>
    </row>
    <row r="63" spans="1:15" ht="3" customHeight="1"/>
    <row r="64" spans="1:15">
      <c r="A64" s="223" t="s">
        <v>349</v>
      </c>
    </row>
    <row r="65" spans="1:11" ht="3" customHeight="1"/>
    <row r="66" spans="1:11">
      <c r="A66" s="232" t="s">
        <v>350</v>
      </c>
    </row>
    <row r="67" spans="1:11">
      <c r="A67" s="223" t="s">
        <v>351</v>
      </c>
    </row>
    <row r="68" spans="1:11">
      <c r="A68" s="223" t="s">
        <v>352</v>
      </c>
    </row>
    <row r="69" spans="1:11">
      <c r="B69" s="223" t="s">
        <v>353</v>
      </c>
    </row>
    <row r="70" spans="1:11">
      <c r="A70" s="223" t="s">
        <v>354</v>
      </c>
    </row>
    <row r="71" spans="1:11">
      <c r="B71" s="223" t="s">
        <v>355</v>
      </c>
    </row>
    <row r="72" spans="1:11">
      <c r="A72" s="223" t="s">
        <v>356</v>
      </c>
    </row>
    <row r="73" spans="1:11">
      <c r="A73" s="223" t="s">
        <v>357</v>
      </c>
    </row>
    <row r="74" spans="1:11" ht="3" customHeight="1"/>
    <row r="75" spans="1:11" ht="12.75" customHeight="1">
      <c r="F75" s="1173" t="s">
        <v>358</v>
      </c>
      <c r="G75" s="1173"/>
      <c r="H75" s="1197" t="str">
        <f>M.Menu!S15</f>
        <v>CAPT. WENDT ROBERT</v>
      </c>
      <c r="I75" s="1198"/>
      <c r="J75" s="1198"/>
      <c r="K75" s="1198"/>
    </row>
    <row r="76" spans="1:11" ht="12.75" customHeight="1">
      <c r="H76" s="1199" t="s">
        <v>156</v>
      </c>
      <c r="I76" s="1199"/>
      <c r="J76" s="1199"/>
      <c r="K76" s="1199"/>
    </row>
    <row r="78" spans="1:11">
      <c r="F78" s="1173" t="s">
        <v>359</v>
      </c>
      <c r="G78" s="1173"/>
      <c r="H78" s="1194" t="s">
        <v>115</v>
      </c>
      <c r="I78" s="1194"/>
      <c r="J78" s="1194"/>
      <c r="K78" s="1194"/>
    </row>
    <row r="79" spans="1:11" ht="12.75" customHeight="1">
      <c r="A79" s="228" t="s">
        <v>6</v>
      </c>
      <c r="B79" s="1195">
        <f>M.Menu!L13</f>
        <v>46106</v>
      </c>
      <c r="C79" s="1195"/>
      <c r="G79" s="1196" t="s">
        <v>381</v>
      </c>
      <c r="H79" s="1196"/>
      <c r="I79" s="1196"/>
      <c r="J79" s="1196"/>
      <c r="K79" s="1196"/>
    </row>
    <row r="166" spans="6:6">
      <c r="F166" s="233"/>
    </row>
    <row r="167" spans="6:6">
      <c r="F167" s="233"/>
    </row>
    <row r="168" spans="6:6">
      <c r="F168" s="233"/>
    </row>
    <row r="169" spans="6:6">
      <c r="F169" s="233"/>
    </row>
    <row r="170" spans="6:6">
      <c r="F170" s="233"/>
    </row>
    <row r="171" spans="6:6">
      <c r="F171" s="233"/>
    </row>
    <row r="172" spans="6:6">
      <c r="F172" s="233"/>
    </row>
    <row r="173" spans="6:6">
      <c r="F173" s="233"/>
    </row>
    <row r="174" spans="6:6">
      <c r="F174" s="233"/>
    </row>
    <row r="175" spans="6:6">
      <c r="F175" s="233"/>
    </row>
    <row r="176" spans="6:6">
      <c r="F176" s="233"/>
    </row>
    <row r="177" spans="6:6">
      <c r="F177" s="233"/>
    </row>
    <row r="178" spans="6:6">
      <c r="F178" s="233"/>
    </row>
    <row r="179" spans="6:6">
      <c r="F179" s="233"/>
    </row>
    <row r="180" spans="6:6">
      <c r="F180" s="233"/>
    </row>
    <row r="181" spans="6:6">
      <c r="F181" s="233"/>
    </row>
    <row r="182" spans="6:6">
      <c r="F182" s="233"/>
    </row>
    <row r="183" spans="6:6">
      <c r="F183" s="233"/>
    </row>
    <row r="184" spans="6:6">
      <c r="F184" s="233"/>
    </row>
    <row r="185" spans="6:6">
      <c r="F185" s="233"/>
    </row>
    <row r="186" spans="6:6">
      <c r="F186" s="233"/>
    </row>
    <row r="187" spans="6:6">
      <c r="F187" s="233"/>
    </row>
    <row r="188" spans="6:6">
      <c r="F188" s="233"/>
    </row>
    <row r="189" spans="6:6">
      <c r="F189" s="233"/>
    </row>
    <row r="190" spans="6:6">
      <c r="F190" s="233"/>
    </row>
    <row r="191" spans="6:6">
      <c r="F191" s="233"/>
    </row>
    <row r="192" spans="6:6">
      <c r="F192" s="233"/>
    </row>
    <row r="193" spans="6:6">
      <c r="F193" s="233"/>
    </row>
    <row r="194" spans="6:6">
      <c r="F194" s="233"/>
    </row>
    <row r="195" spans="6:6">
      <c r="F195" s="233"/>
    </row>
    <row r="196" spans="6:6">
      <c r="F196" s="233"/>
    </row>
    <row r="197" spans="6:6">
      <c r="F197" s="233"/>
    </row>
    <row r="198" spans="6:6">
      <c r="F198" s="233"/>
    </row>
    <row r="199" spans="6:6">
      <c r="F199" s="233"/>
    </row>
    <row r="200" spans="6:6">
      <c r="F200" s="233"/>
    </row>
    <row r="201" spans="6:6">
      <c r="F201" s="233"/>
    </row>
    <row r="202" spans="6:6">
      <c r="F202" s="233"/>
    </row>
    <row r="203" spans="6:6">
      <c r="F203" s="233"/>
    </row>
  </sheetData>
  <mergeCells count="69">
    <mergeCell ref="G28:I28"/>
    <mergeCell ref="G29:I29"/>
    <mergeCell ref="G30:I30"/>
    <mergeCell ref="B30:D30"/>
    <mergeCell ref="H76:K76"/>
    <mergeCell ref="B35:D35"/>
    <mergeCell ref="E35:F35"/>
    <mergeCell ref="G35:H35"/>
    <mergeCell ref="B36:D36"/>
    <mergeCell ref="E36:F36"/>
    <mergeCell ref="G36:H36"/>
    <mergeCell ref="E31:F31"/>
    <mergeCell ref="G31:H31"/>
    <mergeCell ref="G34:H34"/>
    <mergeCell ref="B34:D34"/>
    <mergeCell ref="E34:F34"/>
    <mergeCell ref="F78:G78"/>
    <mergeCell ref="H78:K78"/>
    <mergeCell ref="B79:C79"/>
    <mergeCell ref="G79:K79"/>
    <mergeCell ref="D41:H41"/>
    <mergeCell ref="F75:G75"/>
    <mergeCell ref="H75:K75"/>
    <mergeCell ref="B32:D32"/>
    <mergeCell ref="E32:F32"/>
    <mergeCell ref="G32:H32"/>
    <mergeCell ref="B33:D33"/>
    <mergeCell ref="E33:F33"/>
    <mergeCell ref="G33:H33"/>
    <mergeCell ref="B20:D20"/>
    <mergeCell ref="B21:D21"/>
    <mergeCell ref="F20:H20"/>
    <mergeCell ref="F21:H21"/>
    <mergeCell ref="J20:L20"/>
    <mergeCell ref="B23:D23"/>
    <mergeCell ref="J22:L22"/>
    <mergeCell ref="J23:L23"/>
    <mergeCell ref="F22:H22"/>
    <mergeCell ref="F23:H23"/>
    <mergeCell ref="E8:G8"/>
    <mergeCell ref="H8:J8"/>
    <mergeCell ref="K8:L8"/>
    <mergeCell ref="E9:G9"/>
    <mergeCell ref="H9:J9"/>
    <mergeCell ref="K9:L10"/>
    <mergeCell ref="E10:G10"/>
    <mergeCell ref="A2:K2"/>
    <mergeCell ref="E6:G6"/>
    <mergeCell ref="H6:J6"/>
    <mergeCell ref="K6:L6"/>
    <mergeCell ref="E7:G7"/>
    <mergeCell ref="H7:J7"/>
    <mergeCell ref="K7:L7"/>
    <mergeCell ref="B24:D24"/>
    <mergeCell ref="E11:G11"/>
    <mergeCell ref="H12:J12"/>
    <mergeCell ref="I13:J13"/>
    <mergeCell ref="B37:D37"/>
    <mergeCell ref="E37:F37"/>
    <mergeCell ref="G37:H37"/>
    <mergeCell ref="B31:D31"/>
    <mergeCell ref="E30:F30"/>
    <mergeCell ref="B28:D28"/>
    <mergeCell ref="E28:F28"/>
    <mergeCell ref="B29:D29"/>
    <mergeCell ref="E29:F29"/>
    <mergeCell ref="J21:L21"/>
    <mergeCell ref="K13:L13"/>
    <mergeCell ref="B22:D22"/>
  </mergeCells>
  <pageMargins left="0.19685039370078741" right="0" top="0.59055118110236227" bottom="0" header="0" footer="0"/>
  <pageSetup paperSize="9" scale="82" fitToHeight="0" orientation="portrait" r:id="rId1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0193" r:id="rId4" name="Check Box 1">
              <controlPr defaultSize="0" autoFill="0" autoLine="0" autoPict="0">
                <anchor moveWithCells="1">
                  <from>
                    <xdr:col>5</xdr:col>
                    <xdr:colOff>304800</xdr:colOff>
                    <xdr:row>12</xdr:row>
                    <xdr:rowOff>9525</xdr:rowOff>
                  </from>
                  <to>
                    <xdr:col>6</xdr:col>
                    <xdr:colOff>28575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4" r:id="rId5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19050</xdr:rowOff>
                  </from>
                  <to>
                    <xdr:col>6</xdr:col>
                    <xdr:colOff>400050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5" r:id="rId6" name="Check Box 3">
              <controlPr defaultSize="0" autoFill="0" autoLine="0" autoPict="0">
                <anchor moveWithCells="1">
                  <from>
                    <xdr:col>1</xdr:col>
                    <xdr:colOff>561975</xdr:colOff>
                    <xdr:row>14</xdr:row>
                    <xdr:rowOff>9525</xdr:rowOff>
                  </from>
                  <to>
                    <xdr:col>2</xdr:col>
                    <xdr:colOff>342900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6" r:id="rId7" name="Check Box 4">
              <controlPr defaultSize="0" autoFill="0" autoLine="0" autoPict="0">
                <anchor moveWithCells="1">
                  <from>
                    <xdr:col>2</xdr:col>
                    <xdr:colOff>304800</xdr:colOff>
                    <xdr:row>14</xdr:row>
                    <xdr:rowOff>9525</xdr:rowOff>
                  </from>
                  <to>
                    <xdr:col>3</xdr:col>
                    <xdr:colOff>95250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7" r:id="rId8" name="Check Box 5">
              <controlPr defaultSize="0" autoFill="0" autoLine="0" autoPict="0">
                <anchor moveWithCells="1">
                  <from>
                    <xdr:col>6</xdr:col>
                    <xdr:colOff>304800</xdr:colOff>
                    <xdr:row>15</xdr:row>
                    <xdr:rowOff>9525</xdr:rowOff>
                  </from>
                  <to>
                    <xdr:col>6</xdr:col>
                    <xdr:colOff>695325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8" r:id="rId9" name="Check Box 6">
              <controlPr defaultSize="0" autoFill="0" autoLine="0" autoPict="0">
                <anchor moveWithCells="1">
                  <from>
                    <xdr:col>6</xdr:col>
                    <xdr:colOff>685800</xdr:colOff>
                    <xdr:row>15</xdr:row>
                    <xdr:rowOff>19050</xdr:rowOff>
                  </from>
                  <to>
                    <xdr:col>7</xdr:col>
                    <xdr:colOff>371475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99" r:id="rId10" name="Check Box 7">
              <controlPr defaultSize="0" autoFill="0" autoLine="0" autoPict="0">
                <anchor moveWithCells="1">
                  <from>
                    <xdr:col>10</xdr:col>
                    <xdr:colOff>0</xdr:colOff>
                    <xdr:row>42</xdr:row>
                    <xdr:rowOff>85725</xdr:rowOff>
                  </from>
                  <to>
                    <xdr:col>10</xdr:col>
                    <xdr:colOff>304800</xdr:colOff>
                    <xdr:row>43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0" r:id="rId11" name="Check Box 8">
              <controlPr defaultSize="0" autoFill="0" autoLine="0" autoPict="0">
                <anchor moveWithCells="1">
                  <from>
                    <xdr:col>10</xdr:col>
                    <xdr:colOff>771525</xdr:colOff>
                    <xdr:row>42</xdr:row>
                    <xdr:rowOff>85725</xdr:rowOff>
                  </from>
                  <to>
                    <xdr:col>11</xdr:col>
                    <xdr:colOff>276225</xdr:colOff>
                    <xdr:row>43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1" r:id="rId12" name="Check Box 9">
              <controlPr defaultSize="0" autoFill="0" autoLine="0" autoPict="0">
                <anchor moveWithCells="1">
                  <from>
                    <xdr:col>10</xdr:col>
                    <xdr:colOff>9525</xdr:colOff>
                    <xdr:row>46</xdr:row>
                    <xdr:rowOff>95250</xdr:rowOff>
                  </from>
                  <to>
                    <xdr:col>10</xdr:col>
                    <xdr:colOff>314325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2" r:id="rId13" name="Check Box 10">
              <controlPr defaultSize="0" autoFill="0" autoLine="0" autoPict="0">
                <anchor moveWithCells="1">
                  <from>
                    <xdr:col>10</xdr:col>
                    <xdr:colOff>0</xdr:colOff>
                    <xdr:row>42</xdr:row>
                    <xdr:rowOff>85725</xdr:rowOff>
                  </from>
                  <to>
                    <xdr:col>10</xdr:col>
                    <xdr:colOff>400050</xdr:colOff>
                    <xdr:row>43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3" r:id="rId14" name="Check Box 11">
              <controlPr defaultSize="0" autoFill="0" autoLine="0" autoPict="0">
                <anchor moveWithCells="1">
                  <from>
                    <xdr:col>10</xdr:col>
                    <xdr:colOff>9525</xdr:colOff>
                    <xdr:row>49</xdr:row>
                    <xdr:rowOff>95250</xdr:rowOff>
                  </from>
                  <to>
                    <xdr:col>10</xdr:col>
                    <xdr:colOff>314325</xdr:colOff>
                    <xdr:row>51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4" r:id="rId15" name="Check Box 12">
              <controlPr defaultSize="0" autoFill="0" autoLine="0" autoPict="0">
                <anchor moveWithCells="1">
                  <from>
                    <xdr:col>10</xdr:col>
                    <xdr:colOff>9525</xdr:colOff>
                    <xdr:row>51</xdr:row>
                    <xdr:rowOff>104775</xdr:rowOff>
                  </from>
                  <to>
                    <xdr:col>10</xdr:col>
                    <xdr:colOff>314325</xdr:colOff>
                    <xdr:row>53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5" r:id="rId16" name="Check Box 13">
              <controlPr defaultSize="0" autoFill="0" autoLine="0" autoPict="0">
                <anchor moveWithCells="1">
                  <from>
                    <xdr:col>10</xdr:col>
                    <xdr:colOff>9525</xdr:colOff>
                    <xdr:row>53</xdr:row>
                    <xdr:rowOff>95250</xdr:rowOff>
                  </from>
                  <to>
                    <xdr:col>10</xdr:col>
                    <xdr:colOff>314325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6" r:id="rId17" name="Check Box 14">
              <controlPr defaultSize="0" autoFill="0" autoLine="0" autoPict="0">
                <anchor moveWithCells="1">
                  <from>
                    <xdr:col>10</xdr:col>
                    <xdr:colOff>9525</xdr:colOff>
                    <xdr:row>56</xdr:row>
                    <xdr:rowOff>104775</xdr:rowOff>
                  </from>
                  <to>
                    <xdr:col>10</xdr:col>
                    <xdr:colOff>314325</xdr:colOff>
                    <xdr:row>58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7" r:id="rId18" name="Check Box 15">
              <controlPr defaultSize="0" autoFill="0" autoLine="0" autoPict="0">
                <anchor moveWithCells="1">
                  <from>
                    <xdr:col>10</xdr:col>
                    <xdr:colOff>9525</xdr:colOff>
                    <xdr:row>59</xdr:row>
                    <xdr:rowOff>85725</xdr:rowOff>
                  </from>
                  <to>
                    <xdr:col>10</xdr:col>
                    <xdr:colOff>314325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8" r:id="rId19" name="Check Box 16">
              <controlPr defaultSize="0" autoFill="0" autoLine="0" autoPict="0">
                <anchor moveWithCells="1">
                  <from>
                    <xdr:col>10</xdr:col>
                    <xdr:colOff>9525</xdr:colOff>
                    <xdr:row>61</xdr:row>
                    <xdr:rowOff>114300</xdr:rowOff>
                  </from>
                  <to>
                    <xdr:col>10</xdr:col>
                    <xdr:colOff>314325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09" r:id="rId20" name="Check Box 17">
              <controlPr defaultSize="0" autoFill="0" autoLine="0" autoPict="0">
                <anchor moveWithCells="1">
                  <from>
                    <xdr:col>10</xdr:col>
                    <xdr:colOff>9525</xdr:colOff>
                    <xdr:row>63</xdr:row>
                    <xdr:rowOff>114300</xdr:rowOff>
                  </from>
                  <to>
                    <xdr:col>10</xdr:col>
                    <xdr:colOff>314325</xdr:colOff>
                    <xdr:row>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0" r:id="rId21" name="Check Box 18">
              <controlPr defaultSize="0" autoFill="0" autoLine="0" autoPict="0">
                <anchor moveWithCells="1">
                  <from>
                    <xdr:col>10</xdr:col>
                    <xdr:colOff>771525</xdr:colOff>
                    <xdr:row>46</xdr:row>
                    <xdr:rowOff>95250</xdr:rowOff>
                  </from>
                  <to>
                    <xdr:col>11</xdr:col>
                    <xdr:colOff>276225</xdr:colOff>
                    <xdr:row>48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1" r:id="rId22" name="Check Box 19">
              <controlPr defaultSize="0" autoFill="0" autoLine="0" autoPict="0">
                <anchor moveWithCells="1">
                  <from>
                    <xdr:col>10</xdr:col>
                    <xdr:colOff>771525</xdr:colOff>
                    <xdr:row>49</xdr:row>
                    <xdr:rowOff>95250</xdr:rowOff>
                  </from>
                  <to>
                    <xdr:col>11</xdr:col>
                    <xdr:colOff>276225</xdr:colOff>
                    <xdr:row>51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2" r:id="rId23" name="Check Box 20">
              <controlPr defaultSize="0" autoFill="0" autoLine="0" autoPict="0">
                <anchor moveWithCells="1">
                  <from>
                    <xdr:col>10</xdr:col>
                    <xdr:colOff>771525</xdr:colOff>
                    <xdr:row>51</xdr:row>
                    <xdr:rowOff>114300</xdr:rowOff>
                  </from>
                  <to>
                    <xdr:col>11</xdr:col>
                    <xdr:colOff>276225</xdr:colOff>
                    <xdr:row>53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3" r:id="rId24" name="Check Box 21">
              <controlPr defaultSize="0" autoFill="0" autoLine="0" autoPict="0">
                <anchor moveWithCells="1">
                  <from>
                    <xdr:col>10</xdr:col>
                    <xdr:colOff>781050</xdr:colOff>
                    <xdr:row>59</xdr:row>
                    <xdr:rowOff>95250</xdr:rowOff>
                  </from>
                  <to>
                    <xdr:col>11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4" r:id="rId25" name="Check Box 22">
              <controlPr defaultSize="0" autoFill="0" autoLine="0" autoPict="0">
                <anchor moveWithCells="1">
                  <from>
                    <xdr:col>10</xdr:col>
                    <xdr:colOff>781050</xdr:colOff>
                    <xdr:row>63</xdr:row>
                    <xdr:rowOff>114300</xdr:rowOff>
                  </from>
                  <to>
                    <xdr:col>11</xdr:col>
                    <xdr:colOff>285750</xdr:colOff>
                    <xdr:row>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5" r:id="rId26" name="Check Box 23">
              <controlPr defaultSize="0" autoFill="0" autoLine="0" autoPict="0">
                <anchor moveWithCells="1">
                  <from>
                    <xdr:col>10</xdr:col>
                    <xdr:colOff>781050</xdr:colOff>
                    <xdr:row>56</xdr:row>
                    <xdr:rowOff>104775</xdr:rowOff>
                  </from>
                  <to>
                    <xdr:col>11</xdr:col>
                    <xdr:colOff>285750</xdr:colOff>
                    <xdr:row>58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6" r:id="rId27" name="Check Box 24">
              <controlPr defaultSize="0" autoFill="0" autoLine="0" autoPict="0">
                <anchor moveWithCells="1">
                  <from>
                    <xdr:col>10</xdr:col>
                    <xdr:colOff>771525</xdr:colOff>
                    <xdr:row>53</xdr:row>
                    <xdr:rowOff>95250</xdr:rowOff>
                  </from>
                  <to>
                    <xdr:col>11</xdr:col>
                    <xdr:colOff>276225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17" r:id="rId28" name="Check Box 25">
              <controlPr defaultSize="0" autoFill="0" autoLine="0" autoPict="0">
                <anchor moveWithCells="1">
                  <from>
                    <xdr:col>10</xdr:col>
                    <xdr:colOff>781050</xdr:colOff>
                    <xdr:row>61</xdr:row>
                    <xdr:rowOff>114300</xdr:rowOff>
                  </from>
                  <to>
                    <xdr:col>11</xdr:col>
                    <xdr:colOff>285750</xdr:colOff>
                    <xdr:row>64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9">
    <tabColor indexed="13"/>
  </sheetPr>
  <dimension ref="B1:K19"/>
  <sheetViews>
    <sheetView view="pageBreakPreview" zoomScale="91" zoomScaleNormal="100" zoomScaleSheetLayoutView="91" workbookViewId="0">
      <selection activeCell="D31" sqref="D31"/>
    </sheetView>
  </sheetViews>
  <sheetFormatPr defaultRowHeight="12.75"/>
  <cols>
    <col min="1" max="1" width="1.42578125" style="271" customWidth="1"/>
    <col min="2" max="2" width="21.7109375" style="271" customWidth="1"/>
    <col min="3" max="3" width="11.42578125" style="271" customWidth="1"/>
    <col min="4" max="5" width="9.140625" style="271"/>
    <col min="6" max="6" width="11.85546875" style="271" customWidth="1"/>
    <col min="7" max="7" width="14.5703125" style="271" customWidth="1"/>
    <col min="8" max="8" width="13.7109375" style="271" customWidth="1"/>
    <col min="9" max="9" width="12.42578125" style="271" customWidth="1"/>
    <col min="10" max="10" width="15.140625" style="271" customWidth="1"/>
    <col min="11" max="11" width="19.28515625" style="271" customWidth="1"/>
    <col min="12" max="256" width="9.140625" style="271"/>
    <col min="257" max="257" width="1.42578125" style="271" customWidth="1"/>
    <col min="258" max="258" width="21.7109375" style="271" customWidth="1"/>
    <col min="259" max="259" width="11.42578125" style="271" customWidth="1"/>
    <col min="260" max="261" width="9.140625" style="271"/>
    <col min="262" max="262" width="11.85546875" style="271" customWidth="1"/>
    <col min="263" max="263" width="14.5703125" style="271" customWidth="1"/>
    <col min="264" max="264" width="13.7109375" style="271" customWidth="1"/>
    <col min="265" max="265" width="12.42578125" style="271" customWidth="1"/>
    <col min="266" max="266" width="15.140625" style="271" customWidth="1"/>
    <col min="267" max="267" width="19.28515625" style="271" customWidth="1"/>
    <col min="268" max="512" width="9.140625" style="271"/>
    <col min="513" max="513" width="1.42578125" style="271" customWidth="1"/>
    <col min="514" max="514" width="21.7109375" style="271" customWidth="1"/>
    <col min="515" max="515" width="11.42578125" style="271" customWidth="1"/>
    <col min="516" max="517" width="9.140625" style="271"/>
    <col min="518" max="518" width="11.85546875" style="271" customWidth="1"/>
    <col min="519" max="519" width="14.5703125" style="271" customWidth="1"/>
    <col min="520" max="520" width="13.7109375" style="271" customWidth="1"/>
    <col min="521" max="521" width="12.42578125" style="271" customWidth="1"/>
    <col min="522" max="522" width="15.140625" style="271" customWidth="1"/>
    <col min="523" max="523" width="19.28515625" style="271" customWidth="1"/>
    <col min="524" max="768" width="9.140625" style="271"/>
    <col min="769" max="769" width="1.42578125" style="271" customWidth="1"/>
    <col min="770" max="770" width="21.7109375" style="271" customWidth="1"/>
    <col min="771" max="771" width="11.42578125" style="271" customWidth="1"/>
    <col min="772" max="773" width="9.140625" style="271"/>
    <col min="774" max="774" width="11.85546875" style="271" customWidth="1"/>
    <col min="775" max="775" width="14.5703125" style="271" customWidth="1"/>
    <col min="776" max="776" width="13.7109375" style="271" customWidth="1"/>
    <col min="777" max="777" width="12.42578125" style="271" customWidth="1"/>
    <col min="778" max="778" width="15.140625" style="271" customWidth="1"/>
    <col min="779" max="779" width="19.28515625" style="271" customWidth="1"/>
    <col min="780" max="1024" width="9.140625" style="271"/>
    <col min="1025" max="1025" width="1.42578125" style="271" customWidth="1"/>
    <col min="1026" max="1026" width="21.7109375" style="271" customWidth="1"/>
    <col min="1027" max="1027" width="11.42578125" style="271" customWidth="1"/>
    <col min="1028" max="1029" width="9.140625" style="271"/>
    <col min="1030" max="1030" width="11.85546875" style="271" customWidth="1"/>
    <col min="1031" max="1031" width="14.5703125" style="271" customWidth="1"/>
    <col min="1032" max="1032" width="13.7109375" style="271" customWidth="1"/>
    <col min="1033" max="1033" width="12.42578125" style="271" customWidth="1"/>
    <col min="1034" max="1034" width="15.140625" style="271" customWidth="1"/>
    <col min="1035" max="1035" width="19.28515625" style="271" customWidth="1"/>
    <col min="1036" max="1280" width="9.140625" style="271"/>
    <col min="1281" max="1281" width="1.42578125" style="271" customWidth="1"/>
    <col min="1282" max="1282" width="21.7109375" style="271" customWidth="1"/>
    <col min="1283" max="1283" width="11.42578125" style="271" customWidth="1"/>
    <col min="1284" max="1285" width="9.140625" style="271"/>
    <col min="1286" max="1286" width="11.85546875" style="271" customWidth="1"/>
    <col min="1287" max="1287" width="14.5703125" style="271" customWidth="1"/>
    <col min="1288" max="1288" width="13.7109375" style="271" customWidth="1"/>
    <col min="1289" max="1289" width="12.42578125" style="271" customWidth="1"/>
    <col min="1290" max="1290" width="15.140625" style="271" customWidth="1"/>
    <col min="1291" max="1291" width="19.28515625" style="271" customWidth="1"/>
    <col min="1292" max="1536" width="9.140625" style="271"/>
    <col min="1537" max="1537" width="1.42578125" style="271" customWidth="1"/>
    <col min="1538" max="1538" width="21.7109375" style="271" customWidth="1"/>
    <col min="1539" max="1539" width="11.42578125" style="271" customWidth="1"/>
    <col min="1540" max="1541" width="9.140625" style="271"/>
    <col min="1542" max="1542" width="11.85546875" style="271" customWidth="1"/>
    <col min="1543" max="1543" width="14.5703125" style="271" customWidth="1"/>
    <col min="1544" max="1544" width="13.7109375" style="271" customWidth="1"/>
    <col min="1545" max="1545" width="12.42578125" style="271" customWidth="1"/>
    <col min="1546" max="1546" width="15.140625" style="271" customWidth="1"/>
    <col min="1547" max="1547" width="19.28515625" style="271" customWidth="1"/>
    <col min="1548" max="1792" width="9.140625" style="271"/>
    <col min="1793" max="1793" width="1.42578125" style="271" customWidth="1"/>
    <col min="1794" max="1794" width="21.7109375" style="271" customWidth="1"/>
    <col min="1795" max="1795" width="11.42578125" style="271" customWidth="1"/>
    <col min="1796" max="1797" width="9.140625" style="271"/>
    <col min="1798" max="1798" width="11.85546875" style="271" customWidth="1"/>
    <col min="1799" max="1799" width="14.5703125" style="271" customWidth="1"/>
    <col min="1800" max="1800" width="13.7109375" style="271" customWidth="1"/>
    <col min="1801" max="1801" width="12.42578125" style="271" customWidth="1"/>
    <col min="1802" max="1802" width="15.140625" style="271" customWidth="1"/>
    <col min="1803" max="1803" width="19.28515625" style="271" customWidth="1"/>
    <col min="1804" max="2048" width="9.140625" style="271"/>
    <col min="2049" max="2049" width="1.42578125" style="271" customWidth="1"/>
    <col min="2050" max="2050" width="21.7109375" style="271" customWidth="1"/>
    <col min="2051" max="2051" width="11.42578125" style="271" customWidth="1"/>
    <col min="2052" max="2053" width="9.140625" style="271"/>
    <col min="2054" max="2054" width="11.85546875" style="271" customWidth="1"/>
    <col min="2055" max="2055" width="14.5703125" style="271" customWidth="1"/>
    <col min="2056" max="2056" width="13.7109375" style="271" customWidth="1"/>
    <col min="2057" max="2057" width="12.42578125" style="271" customWidth="1"/>
    <col min="2058" max="2058" width="15.140625" style="271" customWidth="1"/>
    <col min="2059" max="2059" width="19.28515625" style="271" customWidth="1"/>
    <col min="2060" max="2304" width="9.140625" style="271"/>
    <col min="2305" max="2305" width="1.42578125" style="271" customWidth="1"/>
    <col min="2306" max="2306" width="21.7109375" style="271" customWidth="1"/>
    <col min="2307" max="2307" width="11.42578125" style="271" customWidth="1"/>
    <col min="2308" max="2309" width="9.140625" style="271"/>
    <col min="2310" max="2310" width="11.85546875" style="271" customWidth="1"/>
    <col min="2311" max="2311" width="14.5703125" style="271" customWidth="1"/>
    <col min="2312" max="2312" width="13.7109375" style="271" customWidth="1"/>
    <col min="2313" max="2313" width="12.42578125" style="271" customWidth="1"/>
    <col min="2314" max="2314" width="15.140625" style="271" customWidth="1"/>
    <col min="2315" max="2315" width="19.28515625" style="271" customWidth="1"/>
    <col min="2316" max="2560" width="9.140625" style="271"/>
    <col min="2561" max="2561" width="1.42578125" style="271" customWidth="1"/>
    <col min="2562" max="2562" width="21.7109375" style="271" customWidth="1"/>
    <col min="2563" max="2563" width="11.42578125" style="271" customWidth="1"/>
    <col min="2564" max="2565" width="9.140625" style="271"/>
    <col min="2566" max="2566" width="11.85546875" style="271" customWidth="1"/>
    <col min="2567" max="2567" width="14.5703125" style="271" customWidth="1"/>
    <col min="2568" max="2568" width="13.7109375" style="271" customWidth="1"/>
    <col min="2569" max="2569" width="12.42578125" style="271" customWidth="1"/>
    <col min="2570" max="2570" width="15.140625" style="271" customWidth="1"/>
    <col min="2571" max="2571" width="19.28515625" style="271" customWidth="1"/>
    <col min="2572" max="2816" width="9.140625" style="271"/>
    <col min="2817" max="2817" width="1.42578125" style="271" customWidth="1"/>
    <col min="2818" max="2818" width="21.7109375" style="271" customWidth="1"/>
    <col min="2819" max="2819" width="11.42578125" style="271" customWidth="1"/>
    <col min="2820" max="2821" width="9.140625" style="271"/>
    <col min="2822" max="2822" width="11.85546875" style="271" customWidth="1"/>
    <col min="2823" max="2823" width="14.5703125" style="271" customWidth="1"/>
    <col min="2824" max="2824" width="13.7109375" style="271" customWidth="1"/>
    <col min="2825" max="2825" width="12.42578125" style="271" customWidth="1"/>
    <col min="2826" max="2826" width="15.140625" style="271" customWidth="1"/>
    <col min="2827" max="2827" width="19.28515625" style="271" customWidth="1"/>
    <col min="2828" max="3072" width="9.140625" style="271"/>
    <col min="3073" max="3073" width="1.42578125" style="271" customWidth="1"/>
    <col min="3074" max="3074" width="21.7109375" style="271" customWidth="1"/>
    <col min="3075" max="3075" width="11.42578125" style="271" customWidth="1"/>
    <col min="3076" max="3077" width="9.140625" style="271"/>
    <col min="3078" max="3078" width="11.85546875" style="271" customWidth="1"/>
    <col min="3079" max="3079" width="14.5703125" style="271" customWidth="1"/>
    <col min="3080" max="3080" width="13.7109375" style="271" customWidth="1"/>
    <col min="3081" max="3081" width="12.42578125" style="271" customWidth="1"/>
    <col min="3082" max="3082" width="15.140625" style="271" customWidth="1"/>
    <col min="3083" max="3083" width="19.28515625" style="271" customWidth="1"/>
    <col min="3084" max="3328" width="9.140625" style="271"/>
    <col min="3329" max="3329" width="1.42578125" style="271" customWidth="1"/>
    <col min="3330" max="3330" width="21.7109375" style="271" customWidth="1"/>
    <col min="3331" max="3331" width="11.42578125" style="271" customWidth="1"/>
    <col min="3332" max="3333" width="9.140625" style="271"/>
    <col min="3334" max="3334" width="11.85546875" style="271" customWidth="1"/>
    <col min="3335" max="3335" width="14.5703125" style="271" customWidth="1"/>
    <col min="3336" max="3336" width="13.7109375" style="271" customWidth="1"/>
    <col min="3337" max="3337" width="12.42578125" style="271" customWidth="1"/>
    <col min="3338" max="3338" width="15.140625" style="271" customWidth="1"/>
    <col min="3339" max="3339" width="19.28515625" style="271" customWidth="1"/>
    <col min="3340" max="3584" width="9.140625" style="271"/>
    <col min="3585" max="3585" width="1.42578125" style="271" customWidth="1"/>
    <col min="3586" max="3586" width="21.7109375" style="271" customWidth="1"/>
    <col min="3587" max="3587" width="11.42578125" style="271" customWidth="1"/>
    <col min="3588" max="3589" width="9.140625" style="271"/>
    <col min="3590" max="3590" width="11.85546875" style="271" customWidth="1"/>
    <col min="3591" max="3591" width="14.5703125" style="271" customWidth="1"/>
    <col min="3592" max="3592" width="13.7109375" style="271" customWidth="1"/>
    <col min="3593" max="3593" width="12.42578125" style="271" customWidth="1"/>
    <col min="3594" max="3594" width="15.140625" style="271" customWidth="1"/>
    <col min="3595" max="3595" width="19.28515625" style="271" customWidth="1"/>
    <col min="3596" max="3840" width="9.140625" style="271"/>
    <col min="3841" max="3841" width="1.42578125" style="271" customWidth="1"/>
    <col min="3842" max="3842" width="21.7109375" style="271" customWidth="1"/>
    <col min="3843" max="3843" width="11.42578125" style="271" customWidth="1"/>
    <col min="3844" max="3845" width="9.140625" style="271"/>
    <col min="3846" max="3846" width="11.85546875" style="271" customWidth="1"/>
    <col min="3847" max="3847" width="14.5703125" style="271" customWidth="1"/>
    <col min="3848" max="3848" width="13.7109375" style="271" customWidth="1"/>
    <col min="3849" max="3849" width="12.42578125" style="271" customWidth="1"/>
    <col min="3850" max="3850" width="15.140625" style="271" customWidth="1"/>
    <col min="3851" max="3851" width="19.28515625" style="271" customWidth="1"/>
    <col min="3852" max="4096" width="9.140625" style="271"/>
    <col min="4097" max="4097" width="1.42578125" style="271" customWidth="1"/>
    <col min="4098" max="4098" width="21.7109375" style="271" customWidth="1"/>
    <col min="4099" max="4099" width="11.42578125" style="271" customWidth="1"/>
    <col min="4100" max="4101" width="9.140625" style="271"/>
    <col min="4102" max="4102" width="11.85546875" style="271" customWidth="1"/>
    <col min="4103" max="4103" width="14.5703125" style="271" customWidth="1"/>
    <col min="4104" max="4104" width="13.7109375" style="271" customWidth="1"/>
    <col min="4105" max="4105" width="12.42578125" style="271" customWidth="1"/>
    <col min="4106" max="4106" width="15.140625" style="271" customWidth="1"/>
    <col min="4107" max="4107" width="19.28515625" style="271" customWidth="1"/>
    <col min="4108" max="4352" width="9.140625" style="271"/>
    <col min="4353" max="4353" width="1.42578125" style="271" customWidth="1"/>
    <col min="4354" max="4354" width="21.7109375" style="271" customWidth="1"/>
    <col min="4355" max="4355" width="11.42578125" style="271" customWidth="1"/>
    <col min="4356" max="4357" width="9.140625" style="271"/>
    <col min="4358" max="4358" width="11.85546875" style="271" customWidth="1"/>
    <col min="4359" max="4359" width="14.5703125" style="271" customWidth="1"/>
    <col min="4360" max="4360" width="13.7109375" style="271" customWidth="1"/>
    <col min="4361" max="4361" width="12.42578125" style="271" customWidth="1"/>
    <col min="4362" max="4362" width="15.140625" style="271" customWidth="1"/>
    <col min="4363" max="4363" width="19.28515625" style="271" customWidth="1"/>
    <col min="4364" max="4608" width="9.140625" style="271"/>
    <col min="4609" max="4609" width="1.42578125" style="271" customWidth="1"/>
    <col min="4610" max="4610" width="21.7109375" style="271" customWidth="1"/>
    <col min="4611" max="4611" width="11.42578125" style="271" customWidth="1"/>
    <col min="4612" max="4613" width="9.140625" style="271"/>
    <col min="4614" max="4614" width="11.85546875" style="271" customWidth="1"/>
    <col min="4615" max="4615" width="14.5703125" style="271" customWidth="1"/>
    <col min="4616" max="4616" width="13.7109375" style="271" customWidth="1"/>
    <col min="4617" max="4617" width="12.42578125" style="271" customWidth="1"/>
    <col min="4618" max="4618" width="15.140625" style="271" customWidth="1"/>
    <col min="4619" max="4619" width="19.28515625" style="271" customWidth="1"/>
    <col min="4620" max="4864" width="9.140625" style="271"/>
    <col min="4865" max="4865" width="1.42578125" style="271" customWidth="1"/>
    <col min="4866" max="4866" width="21.7109375" style="271" customWidth="1"/>
    <col min="4867" max="4867" width="11.42578125" style="271" customWidth="1"/>
    <col min="4868" max="4869" width="9.140625" style="271"/>
    <col min="4870" max="4870" width="11.85546875" style="271" customWidth="1"/>
    <col min="4871" max="4871" width="14.5703125" style="271" customWidth="1"/>
    <col min="4872" max="4872" width="13.7109375" style="271" customWidth="1"/>
    <col min="4873" max="4873" width="12.42578125" style="271" customWidth="1"/>
    <col min="4874" max="4874" width="15.140625" style="271" customWidth="1"/>
    <col min="4875" max="4875" width="19.28515625" style="271" customWidth="1"/>
    <col min="4876" max="5120" width="9.140625" style="271"/>
    <col min="5121" max="5121" width="1.42578125" style="271" customWidth="1"/>
    <col min="5122" max="5122" width="21.7109375" style="271" customWidth="1"/>
    <col min="5123" max="5123" width="11.42578125" style="271" customWidth="1"/>
    <col min="5124" max="5125" width="9.140625" style="271"/>
    <col min="5126" max="5126" width="11.85546875" style="271" customWidth="1"/>
    <col min="5127" max="5127" width="14.5703125" style="271" customWidth="1"/>
    <col min="5128" max="5128" width="13.7109375" style="271" customWidth="1"/>
    <col min="5129" max="5129" width="12.42578125" style="271" customWidth="1"/>
    <col min="5130" max="5130" width="15.140625" style="271" customWidth="1"/>
    <col min="5131" max="5131" width="19.28515625" style="271" customWidth="1"/>
    <col min="5132" max="5376" width="9.140625" style="271"/>
    <col min="5377" max="5377" width="1.42578125" style="271" customWidth="1"/>
    <col min="5378" max="5378" width="21.7109375" style="271" customWidth="1"/>
    <col min="5379" max="5379" width="11.42578125" style="271" customWidth="1"/>
    <col min="5380" max="5381" width="9.140625" style="271"/>
    <col min="5382" max="5382" width="11.85546875" style="271" customWidth="1"/>
    <col min="5383" max="5383" width="14.5703125" style="271" customWidth="1"/>
    <col min="5384" max="5384" width="13.7109375" style="271" customWidth="1"/>
    <col min="5385" max="5385" width="12.42578125" style="271" customWidth="1"/>
    <col min="5386" max="5386" width="15.140625" style="271" customWidth="1"/>
    <col min="5387" max="5387" width="19.28515625" style="271" customWidth="1"/>
    <col min="5388" max="5632" width="9.140625" style="271"/>
    <col min="5633" max="5633" width="1.42578125" style="271" customWidth="1"/>
    <col min="5634" max="5634" width="21.7109375" style="271" customWidth="1"/>
    <col min="5635" max="5635" width="11.42578125" style="271" customWidth="1"/>
    <col min="5636" max="5637" width="9.140625" style="271"/>
    <col min="5638" max="5638" width="11.85546875" style="271" customWidth="1"/>
    <col min="5639" max="5639" width="14.5703125" style="271" customWidth="1"/>
    <col min="5640" max="5640" width="13.7109375" style="271" customWidth="1"/>
    <col min="5641" max="5641" width="12.42578125" style="271" customWidth="1"/>
    <col min="5642" max="5642" width="15.140625" style="271" customWidth="1"/>
    <col min="5643" max="5643" width="19.28515625" style="271" customWidth="1"/>
    <col min="5644" max="5888" width="9.140625" style="271"/>
    <col min="5889" max="5889" width="1.42578125" style="271" customWidth="1"/>
    <col min="5890" max="5890" width="21.7109375" style="271" customWidth="1"/>
    <col min="5891" max="5891" width="11.42578125" style="271" customWidth="1"/>
    <col min="5892" max="5893" width="9.140625" style="271"/>
    <col min="5894" max="5894" width="11.85546875" style="271" customWidth="1"/>
    <col min="5895" max="5895" width="14.5703125" style="271" customWidth="1"/>
    <col min="5896" max="5896" width="13.7109375" style="271" customWidth="1"/>
    <col min="5897" max="5897" width="12.42578125" style="271" customWidth="1"/>
    <col min="5898" max="5898" width="15.140625" style="271" customWidth="1"/>
    <col min="5899" max="5899" width="19.28515625" style="271" customWidth="1"/>
    <col min="5900" max="6144" width="9.140625" style="271"/>
    <col min="6145" max="6145" width="1.42578125" style="271" customWidth="1"/>
    <col min="6146" max="6146" width="21.7109375" style="271" customWidth="1"/>
    <col min="6147" max="6147" width="11.42578125" style="271" customWidth="1"/>
    <col min="6148" max="6149" width="9.140625" style="271"/>
    <col min="6150" max="6150" width="11.85546875" style="271" customWidth="1"/>
    <col min="6151" max="6151" width="14.5703125" style="271" customWidth="1"/>
    <col min="6152" max="6152" width="13.7109375" style="271" customWidth="1"/>
    <col min="6153" max="6153" width="12.42578125" style="271" customWidth="1"/>
    <col min="6154" max="6154" width="15.140625" style="271" customWidth="1"/>
    <col min="6155" max="6155" width="19.28515625" style="271" customWidth="1"/>
    <col min="6156" max="6400" width="9.140625" style="271"/>
    <col min="6401" max="6401" width="1.42578125" style="271" customWidth="1"/>
    <col min="6402" max="6402" width="21.7109375" style="271" customWidth="1"/>
    <col min="6403" max="6403" width="11.42578125" style="271" customWidth="1"/>
    <col min="6404" max="6405" width="9.140625" style="271"/>
    <col min="6406" max="6406" width="11.85546875" style="271" customWidth="1"/>
    <col min="6407" max="6407" width="14.5703125" style="271" customWidth="1"/>
    <col min="6408" max="6408" width="13.7109375" style="271" customWidth="1"/>
    <col min="6409" max="6409" width="12.42578125" style="271" customWidth="1"/>
    <col min="6410" max="6410" width="15.140625" style="271" customWidth="1"/>
    <col min="6411" max="6411" width="19.28515625" style="271" customWidth="1"/>
    <col min="6412" max="6656" width="9.140625" style="271"/>
    <col min="6657" max="6657" width="1.42578125" style="271" customWidth="1"/>
    <col min="6658" max="6658" width="21.7109375" style="271" customWidth="1"/>
    <col min="6659" max="6659" width="11.42578125" style="271" customWidth="1"/>
    <col min="6660" max="6661" width="9.140625" style="271"/>
    <col min="6662" max="6662" width="11.85546875" style="271" customWidth="1"/>
    <col min="6663" max="6663" width="14.5703125" style="271" customWidth="1"/>
    <col min="6664" max="6664" width="13.7109375" style="271" customWidth="1"/>
    <col min="6665" max="6665" width="12.42578125" style="271" customWidth="1"/>
    <col min="6666" max="6666" width="15.140625" style="271" customWidth="1"/>
    <col min="6667" max="6667" width="19.28515625" style="271" customWidth="1"/>
    <col min="6668" max="6912" width="9.140625" style="271"/>
    <col min="6913" max="6913" width="1.42578125" style="271" customWidth="1"/>
    <col min="6914" max="6914" width="21.7109375" style="271" customWidth="1"/>
    <col min="6915" max="6915" width="11.42578125" style="271" customWidth="1"/>
    <col min="6916" max="6917" width="9.140625" style="271"/>
    <col min="6918" max="6918" width="11.85546875" style="271" customWidth="1"/>
    <col min="6919" max="6919" width="14.5703125" style="271" customWidth="1"/>
    <col min="6920" max="6920" width="13.7109375" style="271" customWidth="1"/>
    <col min="6921" max="6921" width="12.42578125" style="271" customWidth="1"/>
    <col min="6922" max="6922" width="15.140625" style="271" customWidth="1"/>
    <col min="6923" max="6923" width="19.28515625" style="271" customWidth="1"/>
    <col min="6924" max="7168" width="9.140625" style="271"/>
    <col min="7169" max="7169" width="1.42578125" style="271" customWidth="1"/>
    <col min="7170" max="7170" width="21.7109375" style="271" customWidth="1"/>
    <col min="7171" max="7171" width="11.42578125" style="271" customWidth="1"/>
    <col min="7172" max="7173" width="9.140625" style="271"/>
    <col min="7174" max="7174" width="11.85546875" style="271" customWidth="1"/>
    <col min="7175" max="7175" width="14.5703125" style="271" customWidth="1"/>
    <col min="7176" max="7176" width="13.7109375" style="271" customWidth="1"/>
    <col min="7177" max="7177" width="12.42578125" style="271" customWidth="1"/>
    <col min="7178" max="7178" width="15.140625" style="271" customWidth="1"/>
    <col min="7179" max="7179" width="19.28515625" style="271" customWidth="1"/>
    <col min="7180" max="7424" width="9.140625" style="271"/>
    <col min="7425" max="7425" width="1.42578125" style="271" customWidth="1"/>
    <col min="7426" max="7426" width="21.7109375" style="271" customWidth="1"/>
    <col min="7427" max="7427" width="11.42578125" style="271" customWidth="1"/>
    <col min="7428" max="7429" width="9.140625" style="271"/>
    <col min="7430" max="7430" width="11.85546875" style="271" customWidth="1"/>
    <col min="7431" max="7431" width="14.5703125" style="271" customWidth="1"/>
    <col min="7432" max="7432" width="13.7109375" style="271" customWidth="1"/>
    <col min="7433" max="7433" width="12.42578125" style="271" customWidth="1"/>
    <col min="7434" max="7434" width="15.140625" style="271" customWidth="1"/>
    <col min="7435" max="7435" width="19.28515625" style="271" customWidth="1"/>
    <col min="7436" max="7680" width="9.140625" style="271"/>
    <col min="7681" max="7681" width="1.42578125" style="271" customWidth="1"/>
    <col min="7682" max="7682" width="21.7109375" style="271" customWidth="1"/>
    <col min="7683" max="7683" width="11.42578125" style="271" customWidth="1"/>
    <col min="7684" max="7685" width="9.140625" style="271"/>
    <col min="7686" max="7686" width="11.85546875" style="271" customWidth="1"/>
    <col min="7687" max="7687" width="14.5703125" style="271" customWidth="1"/>
    <col min="7688" max="7688" width="13.7109375" style="271" customWidth="1"/>
    <col min="7689" max="7689" width="12.42578125" style="271" customWidth="1"/>
    <col min="7690" max="7690" width="15.140625" style="271" customWidth="1"/>
    <col min="7691" max="7691" width="19.28515625" style="271" customWidth="1"/>
    <col min="7692" max="7936" width="9.140625" style="271"/>
    <col min="7937" max="7937" width="1.42578125" style="271" customWidth="1"/>
    <col min="7938" max="7938" width="21.7109375" style="271" customWidth="1"/>
    <col min="7939" max="7939" width="11.42578125" style="271" customWidth="1"/>
    <col min="7940" max="7941" width="9.140625" style="271"/>
    <col min="7942" max="7942" width="11.85546875" style="271" customWidth="1"/>
    <col min="7943" max="7943" width="14.5703125" style="271" customWidth="1"/>
    <col min="7944" max="7944" width="13.7109375" style="271" customWidth="1"/>
    <col min="7945" max="7945" width="12.42578125" style="271" customWidth="1"/>
    <col min="7946" max="7946" width="15.140625" style="271" customWidth="1"/>
    <col min="7947" max="7947" width="19.28515625" style="271" customWidth="1"/>
    <col min="7948" max="8192" width="9.140625" style="271"/>
    <col min="8193" max="8193" width="1.42578125" style="271" customWidth="1"/>
    <col min="8194" max="8194" width="21.7109375" style="271" customWidth="1"/>
    <col min="8195" max="8195" width="11.42578125" style="271" customWidth="1"/>
    <col min="8196" max="8197" width="9.140625" style="271"/>
    <col min="8198" max="8198" width="11.85546875" style="271" customWidth="1"/>
    <col min="8199" max="8199" width="14.5703125" style="271" customWidth="1"/>
    <col min="8200" max="8200" width="13.7109375" style="271" customWidth="1"/>
    <col min="8201" max="8201" width="12.42578125" style="271" customWidth="1"/>
    <col min="8202" max="8202" width="15.140625" style="271" customWidth="1"/>
    <col min="8203" max="8203" width="19.28515625" style="271" customWidth="1"/>
    <col min="8204" max="8448" width="9.140625" style="271"/>
    <col min="8449" max="8449" width="1.42578125" style="271" customWidth="1"/>
    <col min="8450" max="8450" width="21.7109375" style="271" customWidth="1"/>
    <col min="8451" max="8451" width="11.42578125" style="271" customWidth="1"/>
    <col min="8452" max="8453" width="9.140625" style="271"/>
    <col min="8454" max="8454" width="11.85546875" style="271" customWidth="1"/>
    <col min="8455" max="8455" width="14.5703125" style="271" customWidth="1"/>
    <col min="8456" max="8456" width="13.7109375" style="271" customWidth="1"/>
    <col min="8457" max="8457" width="12.42578125" style="271" customWidth="1"/>
    <col min="8458" max="8458" width="15.140625" style="271" customWidth="1"/>
    <col min="8459" max="8459" width="19.28515625" style="271" customWidth="1"/>
    <col min="8460" max="8704" width="9.140625" style="271"/>
    <col min="8705" max="8705" width="1.42578125" style="271" customWidth="1"/>
    <col min="8706" max="8706" width="21.7109375" style="271" customWidth="1"/>
    <col min="8707" max="8707" width="11.42578125" style="271" customWidth="1"/>
    <col min="8708" max="8709" width="9.140625" style="271"/>
    <col min="8710" max="8710" width="11.85546875" style="271" customWidth="1"/>
    <col min="8711" max="8711" width="14.5703125" style="271" customWidth="1"/>
    <col min="8712" max="8712" width="13.7109375" style="271" customWidth="1"/>
    <col min="8713" max="8713" width="12.42578125" style="271" customWidth="1"/>
    <col min="8714" max="8714" width="15.140625" style="271" customWidth="1"/>
    <col min="8715" max="8715" width="19.28515625" style="271" customWidth="1"/>
    <col min="8716" max="8960" width="9.140625" style="271"/>
    <col min="8961" max="8961" width="1.42578125" style="271" customWidth="1"/>
    <col min="8962" max="8962" width="21.7109375" style="271" customWidth="1"/>
    <col min="8963" max="8963" width="11.42578125" style="271" customWidth="1"/>
    <col min="8964" max="8965" width="9.140625" style="271"/>
    <col min="8966" max="8966" width="11.85546875" style="271" customWidth="1"/>
    <col min="8967" max="8967" width="14.5703125" style="271" customWidth="1"/>
    <col min="8968" max="8968" width="13.7109375" style="271" customWidth="1"/>
    <col min="8969" max="8969" width="12.42578125" style="271" customWidth="1"/>
    <col min="8970" max="8970" width="15.140625" style="271" customWidth="1"/>
    <col min="8971" max="8971" width="19.28515625" style="271" customWidth="1"/>
    <col min="8972" max="9216" width="9.140625" style="271"/>
    <col min="9217" max="9217" width="1.42578125" style="271" customWidth="1"/>
    <col min="9218" max="9218" width="21.7109375" style="271" customWidth="1"/>
    <col min="9219" max="9219" width="11.42578125" style="271" customWidth="1"/>
    <col min="9220" max="9221" width="9.140625" style="271"/>
    <col min="9222" max="9222" width="11.85546875" style="271" customWidth="1"/>
    <col min="9223" max="9223" width="14.5703125" style="271" customWidth="1"/>
    <col min="9224" max="9224" width="13.7109375" style="271" customWidth="1"/>
    <col min="9225" max="9225" width="12.42578125" style="271" customWidth="1"/>
    <col min="9226" max="9226" width="15.140625" style="271" customWidth="1"/>
    <col min="9227" max="9227" width="19.28515625" style="271" customWidth="1"/>
    <col min="9228" max="9472" width="9.140625" style="271"/>
    <col min="9473" max="9473" width="1.42578125" style="271" customWidth="1"/>
    <col min="9474" max="9474" width="21.7109375" style="271" customWidth="1"/>
    <col min="9475" max="9475" width="11.42578125" style="271" customWidth="1"/>
    <col min="9476" max="9477" width="9.140625" style="271"/>
    <col min="9478" max="9478" width="11.85546875" style="271" customWidth="1"/>
    <col min="9479" max="9479" width="14.5703125" style="271" customWidth="1"/>
    <col min="9480" max="9480" width="13.7109375" style="271" customWidth="1"/>
    <col min="9481" max="9481" width="12.42578125" style="271" customWidth="1"/>
    <col min="9482" max="9482" width="15.140625" style="271" customWidth="1"/>
    <col min="9483" max="9483" width="19.28515625" style="271" customWidth="1"/>
    <col min="9484" max="9728" width="9.140625" style="271"/>
    <col min="9729" max="9729" width="1.42578125" style="271" customWidth="1"/>
    <col min="9730" max="9730" width="21.7109375" style="271" customWidth="1"/>
    <col min="9731" max="9731" width="11.42578125" style="271" customWidth="1"/>
    <col min="9732" max="9733" width="9.140625" style="271"/>
    <col min="9734" max="9734" width="11.85546875" style="271" customWidth="1"/>
    <col min="9735" max="9735" width="14.5703125" style="271" customWidth="1"/>
    <col min="9736" max="9736" width="13.7109375" style="271" customWidth="1"/>
    <col min="9737" max="9737" width="12.42578125" style="271" customWidth="1"/>
    <col min="9738" max="9738" width="15.140625" style="271" customWidth="1"/>
    <col min="9739" max="9739" width="19.28515625" style="271" customWidth="1"/>
    <col min="9740" max="9984" width="9.140625" style="271"/>
    <col min="9985" max="9985" width="1.42578125" style="271" customWidth="1"/>
    <col min="9986" max="9986" width="21.7109375" style="271" customWidth="1"/>
    <col min="9987" max="9987" width="11.42578125" style="271" customWidth="1"/>
    <col min="9988" max="9989" width="9.140625" style="271"/>
    <col min="9990" max="9990" width="11.85546875" style="271" customWidth="1"/>
    <col min="9991" max="9991" width="14.5703125" style="271" customWidth="1"/>
    <col min="9992" max="9992" width="13.7109375" style="271" customWidth="1"/>
    <col min="9993" max="9993" width="12.42578125" style="271" customWidth="1"/>
    <col min="9994" max="9994" width="15.140625" style="271" customWidth="1"/>
    <col min="9995" max="9995" width="19.28515625" style="271" customWidth="1"/>
    <col min="9996" max="10240" width="9.140625" style="271"/>
    <col min="10241" max="10241" width="1.42578125" style="271" customWidth="1"/>
    <col min="10242" max="10242" width="21.7109375" style="271" customWidth="1"/>
    <col min="10243" max="10243" width="11.42578125" style="271" customWidth="1"/>
    <col min="10244" max="10245" width="9.140625" style="271"/>
    <col min="10246" max="10246" width="11.85546875" style="271" customWidth="1"/>
    <col min="10247" max="10247" width="14.5703125" style="271" customWidth="1"/>
    <col min="10248" max="10248" width="13.7109375" style="271" customWidth="1"/>
    <col min="10249" max="10249" width="12.42578125" style="271" customWidth="1"/>
    <col min="10250" max="10250" width="15.140625" style="271" customWidth="1"/>
    <col min="10251" max="10251" width="19.28515625" style="271" customWidth="1"/>
    <col min="10252" max="10496" width="9.140625" style="271"/>
    <col min="10497" max="10497" width="1.42578125" style="271" customWidth="1"/>
    <col min="10498" max="10498" width="21.7109375" style="271" customWidth="1"/>
    <col min="10499" max="10499" width="11.42578125" style="271" customWidth="1"/>
    <col min="10500" max="10501" width="9.140625" style="271"/>
    <col min="10502" max="10502" width="11.85546875" style="271" customWidth="1"/>
    <col min="10503" max="10503" width="14.5703125" style="271" customWidth="1"/>
    <col min="10504" max="10504" width="13.7109375" style="271" customWidth="1"/>
    <col min="10505" max="10505" width="12.42578125" style="271" customWidth="1"/>
    <col min="10506" max="10506" width="15.140625" style="271" customWidth="1"/>
    <col min="10507" max="10507" width="19.28515625" style="271" customWidth="1"/>
    <col min="10508" max="10752" width="9.140625" style="271"/>
    <col min="10753" max="10753" width="1.42578125" style="271" customWidth="1"/>
    <col min="10754" max="10754" width="21.7109375" style="271" customWidth="1"/>
    <col min="10755" max="10755" width="11.42578125" style="271" customWidth="1"/>
    <col min="10756" max="10757" width="9.140625" style="271"/>
    <col min="10758" max="10758" width="11.85546875" style="271" customWidth="1"/>
    <col min="10759" max="10759" width="14.5703125" style="271" customWidth="1"/>
    <col min="10760" max="10760" width="13.7109375" style="271" customWidth="1"/>
    <col min="10761" max="10761" width="12.42578125" style="271" customWidth="1"/>
    <col min="10762" max="10762" width="15.140625" style="271" customWidth="1"/>
    <col min="10763" max="10763" width="19.28515625" style="271" customWidth="1"/>
    <col min="10764" max="11008" width="9.140625" style="271"/>
    <col min="11009" max="11009" width="1.42578125" style="271" customWidth="1"/>
    <col min="11010" max="11010" width="21.7109375" style="271" customWidth="1"/>
    <col min="11011" max="11011" width="11.42578125" style="271" customWidth="1"/>
    <col min="11012" max="11013" width="9.140625" style="271"/>
    <col min="11014" max="11014" width="11.85546875" style="271" customWidth="1"/>
    <col min="11015" max="11015" width="14.5703125" style="271" customWidth="1"/>
    <col min="11016" max="11016" width="13.7109375" style="271" customWidth="1"/>
    <col min="11017" max="11017" width="12.42578125" style="271" customWidth="1"/>
    <col min="11018" max="11018" width="15.140625" style="271" customWidth="1"/>
    <col min="11019" max="11019" width="19.28515625" style="271" customWidth="1"/>
    <col min="11020" max="11264" width="9.140625" style="271"/>
    <col min="11265" max="11265" width="1.42578125" style="271" customWidth="1"/>
    <col min="11266" max="11266" width="21.7109375" style="271" customWidth="1"/>
    <col min="11267" max="11267" width="11.42578125" style="271" customWidth="1"/>
    <col min="11268" max="11269" width="9.140625" style="271"/>
    <col min="11270" max="11270" width="11.85546875" style="271" customWidth="1"/>
    <col min="11271" max="11271" width="14.5703125" style="271" customWidth="1"/>
    <col min="11272" max="11272" width="13.7109375" style="271" customWidth="1"/>
    <col min="11273" max="11273" width="12.42578125" style="271" customWidth="1"/>
    <col min="11274" max="11274" width="15.140625" style="271" customWidth="1"/>
    <col min="11275" max="11275" width="19.28515625" style="271" customWidth="1"/>
    <col min="11276" max="11520" width="9.140625" style="271"/>
    <col min="11521" max="11521" width="1.42578125" style="271" customWidth="1"/>
    <col min="11522" max="11522" width="21.7109375" style="271" customWidth="1"/>
    <col min="11523" max="11523" width="11.42578125" style="271" customWidth="1"/>
    <col min="11524" max="11525" width="9.140625" style="271"/>
    <col min="11526" max="11526" width="11.85546875" style="271" customWidth="1"/>
    <col min="11527" max="11527" width="14.5703125" style="271" customWidth="1"/>
    <col min="11528" max="11528" width="13.7109375" style="271" customWidth="1"/>
    <col min="11529" max="11529" width="12.42578125" style="271" customWidth="1"/>
    <col min="11530" max="11530" width="15.140625" style="271" customWidth="1"/>
    <col min="11531" max="11531" width="19.28515625" style="271" customWidth="1"/>
    <col min="11532" max="11776" width="9.140625" style="271"/>
    <col min="11777" max="11777" width="1.42578125" style="271" customWidth="1"/>
    <col min="11778" max="11778" width="21.7109375" style="271" customWidth="1"/>
    <col min="11779" max="11779" width="11.42578125" style="271" customWidth="1"/>
    <col min="11780" max="11781" width="9.140625" style="271"/>
    <col min="11782" max="11782" width="11.85546875" style="271" customWidth="1"/>
    <col min="11783" max="11783" width="14.5703125" style="271" customWidth="1"/>
    <col min="11784" max="11784" width="13.7109375" style="271" customWidth="1"/>
    <col min="11785" max="11785" width="12.42578125" style="271" customWidth="1"/>
    <col min="11786" max="11786" width="15.140625" style="271" customWidth="1"/>
    <col min="11787" max="11787" width="19.28515625" style="271" customWidth="1"/>
    <col min="11788" max="12032" width="9.140625" style="271"/>
    <col min="12033" max="12033" width="1.42578125" style="271" customWidth="1"/>
    <col min="12034" max="12034" width="21.7109375" style="271" customWidth="1"/>
    <col min="12035" max="12035" width="11.42578125" style="271" customWidth="1"/>
    <col min="12036" max="12037" width="9.140625" style="271"/>
    <col min="12038" max="12038" width="11.85546875" style="271" customWidth="1"/>
    <col min="12039" max="12039" width="14.5703125" style="271" customWidth="1"/>
    <col min="12040" max="12040" width="13.7109375" style="271" customWidth="1"/>
    <col min="12041" max="12041" width="12.42578125" style="271" customWidth="1"/>
    <col min="12042" max="12042" width="15.140625" style="271" customWidth="1"/>
    <col min="12043" max="12043" width="19.28515625" style="271" customWidth="1"/>
    <col min="12044" max="12288" width="9.140625" style="271"/>
    <col min="12289" max="12289" width="1.42578125" style="271" customWidth="1"/>
    <col min="12290" max="12290" width="21.7109375" style="271" customWidth="1"/>
    <col min="12291" max="12291" width="11.42578125" style="271" customWidth="1"/>
    <col min="12292" max="12293" width="9.140625" style="271"/>
    <col min="12294" max="12294" width="11.85546875" style="271" customWidth="1"/>
    <col min="12295" max="12295" width="14.5703125" style="271" customWidth="1"/>
    <col min="12296" max="12296" width="13.7109375" style="271" customWidth="1"/>
    <col min="12297" max="12297" width="12.42578125" style="271" customWidth="1"/>
    <col min="12298" max="12298" width="15.140625" style="271" customWidth="1"/>
    <col min="12299" max="12299" width="19.28515625" style="271" customWidth="1"/>
    <col min="12300" max="12544" width="9.140625" style="271"/>
    <col min="12545" max="12545" width="1.42578125" style="271" customWidth="1"/>
    <col min="12546" max="12546" width="21.7109375" style="271" customWidth="1"/>
    <col min="12547" max="12547" width="11.42578125" style="271" customWidth="1"/>
    <col min="12548" max="12549" width="9.140625" style="271"/>
    <col min="12550" max="12550" width="11.85546875" style="271" customWidth="1"/>
    <col min="12551" max="12551" width="14.5703125" style="271" customWidth="1"/>
    <col min="12552" max="12552" width="13.7109375" style="271" customWidth="1"/>
    <col min="12553" max="12553" width="12.42578125" style="271" customWidth="1"/>
    <col min="12554" max="12554" width="15.140625" style="271" customWidth="1"/>
    <col min="12555" max="12555" width="19.28515625" style="271" customWidth="1"/>
    <col min="12556" max="12800" width="9.140625" style="271"/>
    <col min="12801" max="12801" width="1.42578125" style="271" customWidth="1"/>
    <col min="12802" max="12802" width="21.7109375" style="271" customWidth="1"/>
    <col min="12803" max="12803" width="11.42578125" style="271" customWidth="1"/>
    <col min="12804" max="12805" width="9.140625" style="271"/>
    <col min="12806" max="12806" width="11.85546875" style="271" customWidth="1"/>
    <col min="12807" max="12807" width="14.5703125" style="271" customWidth="1"/>
    <col min="12808" max="12808" width="13.7109375" style="271" customWidth="1"/>
    <col min="12809" max="12809" width="12.42578125" style="271" customWidth="1"/>
    <col min="12810" max="12810" width="15.140625" style="271" customWidth="1"/>
    <col min="12811" max="12811" width="19.28515625" style="271" customWidth="1"/>
    <col min="12812" max="13056" width="9.140625" style="271"/>
    <col min="13057" max="13057" width="1.42578125" style="271" customWidth="1"/>
    <col min="13058" max="13058" width="21.7109375" style="271" customWidth="1"/>
    <col min="13059" max="13059" width="11.42578125" style="271" customWidth="1"/>
    <col min="13060" max="13061" width="9.140625" style="271"/>
    <col min="13062" max="13062" width="11.85546875" style="271" customWidth="1"/>
    <col min="13063" max="13063" width="14.5703125" style="271" customWidth="1"/>
    <col min="13064" max="13064" width="13.7109375" style="271" customWidth="1"/>
    <col min="13065" max="13065" width="12.42578125" style="271" customWidth="1"/>
    <col min="13066" max="13066" width="15.140625" style="271" customWidth="1"/>
    <col min="13067" max="13067" width="19.28515625" style="271" customWidth="1"/>
    <col min="13068" max="13312" width="9.140625" style="271"/>
    <col min="13313" max="13313" width="1.42578125" style="271" customWidth="1"/>
    <col min="13314" max="13314" width="21.7109375" style="271" customWidth="1"/>
    <col min="13315" max="13315" width="11.42578125" style="271" customWidth="1"/>
    <col min="13316" max="13317" width="9.140625" style="271"/>
    <col min="13318" max="13318" width="11.85546875" style="271" customWidth="1"/>
    <col min="13319" max="13319" width="14.5703125" style="271" customWidth="1"/>
    <col min="13320" max="13320" width="13.7109375" style="271" customWidth="1"/>
    <col min="13321" max="13321" width="12.42578125" style="271" customWidth="1"/>
    <col min="13322" max="13322" width="15.140625" style="271" customWidth="1"/>
    <col min="13323" max="13323" width="19.28515625" style="271" customWidth="1"/>
    <col min="13324" max="13568" width="9.140625" style="271"/>
    <col min="13569" max="13569" width="1.42578125" style="271" customWidth="1"/>
    <col min="13570" max="13570" width="21.7109375" style="271" customWidth="1"/>
    <col min="13571" max="13571" width="11.42578125" style="271" customWidth="1"/>
    <col min="13572" max="13573" width="9.140625" style="271"/>
    <col min="13574" max="13574" width="11.85546875" style="271" customWidth="1"/>
    <col min="13575" max="13575" width="14.5703125" style="271" customWidth="1"/>
    <col min="13576" max="13576" width="13.7109375" style="271" customWidth="1"/>
    <col min="13577" max="13577" width="12.42578125" style="271" customWidth="1"/>
    <col min="13578" max="13578" width="15.140625" style="271" customWidth="1"/>
    <col min="13579" max="13579" width="19.28515625" style="271" customWidth="1"/>
    <col min="13580" max="13824" width="9.140625" style="271"/>
    <col min="13825" max="13825" width="1.42578125" style="271" customWidth="1"/>
    <col min="13826" max="13826" width="21.7109375" style="271" customWidth="1"/>
    <col min="13827" max="13827" width="11.42578125" style="271" customWidth="1"/>
    <col min="13828" max="13829" width="9.140625" style="271"/>
    <col min="13830" max="13830" width="11.85546875" style="271" customWidth="1"/>
    <col min="13831" max="13831" width="14.5703125" style="271" customWidth="1"/>
    <col min="13832" max="13832" width="13.7109375" style="271" customWidth="1"/>
    <col min="13833" max="13833" width="12.42578125" style="271" customWidth="1"/>
    <col min="13834" max="13834" width="15.140625" style="271" customWidth="1"/>
    <col min="13835" max="13835" width="19.28515625" style="271" customWidth="1"/>
    <col min="13836" max="14080" width="9.140625" style="271"/>
    <col min="14081" max="14081" width="1.42578125" style="271" customWidth="1"/>
    <col min="14082" max="14082" width="21.7109375" style="271" customWidth="1"/>
    <col min="14083" max="14083" width="11.42578125" style="271" customWidth="1"/>
    <col min="14084" max="14085" width="9.140625" style="271"/>
    <col min="14086" max="14086" width="11.85546875" style="271" customWidth="1"/>
    <col min="14087" max="14087" width="14.5703125" style="271" customWidth="1"/>
    <col min="14088" max="14088" width="13.7109375" style="271" customWidth="1"/>
    <col min="14089" max="14089" width="12.42578125" style="271" customWidth="1"/>
    <col min="14090" max="14090" width="15.140625" style="271" customWidth="1"/>
    <col min="14091" max="14091" width="19.28515625" style="271" customWidth="1"/>
    <col min="14092" max="14336" width="9.140625" style="271"/>
    <col min="14337" max="14337" width="1.42578125" style="271" customWidth="1"/>
    <col min="14338" max="14338" width="21.7109375" style="271" customWidth="1"/>
    <col min="14339" max="14339" width="11.42578125" style="271" customWidth="1"/>
    <col min="14340" max="14341" width="9.140625" style="271"/>
    <col min="14342" max="14342" width="11.85546875" style="271" customWidth="1"/>
    <col min="14343" max="14343" width="14.5703125" style="271" customWidth="1"/>
    <col min="14344" max="14344" width="13.7109375" style="271" customWidth="1"/>
    <col min="14345" max="14345" width="12.42578125" style="271" customWidth="1"/>
    <col min="14346" max="14346" width="15.140625" style="271" customWidth="1"/>
    <col min="14347" max="14347" width="19.28515625" style="271" customWidth="1"/>
    <col min="14348" max="14592" width="9.140625" style="271"/>
    <col min="14593" max="14593" width="1.42578125" style="271" customWidth="1"/>
    <col min="14594" max="14594" width="21.7109375" style="271" customWidth="1"/>
    <col min="14595" max="14595" width="11.42578125" style="271" customWidth="1"/>
    <col min="14596" max="14597" width="9.140625" style="271"/>
    <col min="14598" max="14598" width="11.85546875" style="271" customWidth="1"/>
    <col min="14599" max="14599" width="14.5703125" style="271" customWidth="1"/>
    <col min="14600" max="14600" width="13.7109375" style="271" customWidth="1"/>
    <col min="14601" max="14601" width="12.42578125" style="271" customWidth="1"/>
    <col min="14602" max="14602" width="15.140625" style="271" customWidth="1"/>
    <col min="14603" max="14603" width="19.28515625" style="271" customWidth="1"/>
    <col min="14604" max="14848" width="9.140625" style="271"/>
    <col min="14849" max="14849" width="1.42578125" style="271" customWidth="1"/>
    <col min="14850" max="14850" width="21.7109375" style="271" customWidth="1"/>
    <col min="14851" max="14851" width="11.42578125" style="271" customWidth="1"/>
    <col min="14852" max="14853" width="9.140625" style="271"/>
    <col min="14854" max="14854" width="11.85546875" style="271" customWidth="1"/>
    <col min="14855" max="14855" width="14.5703125" style="271" customWidth="1"/>
    <col min="14856" max="14856" width="13.7109375" style="271" customWidth="1"/>
    <col min="14857" max="14857" width="12.42578125" style="271" customWidth="1"/>
    <col min="14858" max="14858" width="15.140625" style="271" customWidth="1"/>
    <col min="14859" max="14859" width="19.28515625" style="271" customWidth="1"/>
    <col min="14860" max="15104" width="9.140625" style="271"/>
    <col min="15105" max="15105" width="1.42578125" style="271" customWidth="1"/>
    <col min="15106" max="15106" width="21.7109375" style="271" customWidth="1"/>
    <col min="15107" max="15107" width="11.42578125" style="271" customWidth="1"/>
    <col min="15108" max="15109" width="9.140625" style="271"/>
    <col min="15110" max="15110" width="11.85546875" style="271" customWidth="1"/>
    <col min="15111" max="15111" width="14.5703125" style="271" customWidth="1"/>
    <col min="15112" max="15112" width="13.7109375" style="271" customWidth="1"/>
    <col min="15113" max="15113" width="12.42578125" style="271" customWidth="1"/>
    <col min="15114" max="15114" width="15.140625" style="271" customWidth="1"/>
    <col min="15115" max="15115" width="19.28515625" style="271" customWidth="1"/>
    <col min="15116" max="15360" width="9.140625" style="271"/>
    <col min="15361" max="15361" width="1.42578125" style="271" customWidth="1"/>
    <col min="15362" max="15362" width="21.7109375" style="271" customWidth="1"/>
    <col min="15363" max="15363" width="11.42578125" style="271" customWidth="1"/>
    <col min="15364" max="15365" width="9.140625" style="271"/>
    <col min="15366" max="15366" width="11.85546875" style="271" customWidth="1"/>
    <col min="15367" max="15367" width="14.5703125" style="271" customWidth="1"/>
    <col min="15368" max="15368" width="13.7109375" style="271" customWidth="1"/>
    <col min="15369" max="15369" width="12.42578125" style="271" customWidth="1"/>
    <col min="15370" max="15370" width="15.140625" style="271" customWidth="1"/>
    <col min="15371" max="15371" width="19.28515625" style="271" customWidth="1"/>
    <col min="15372" max="15616" width="9.140625" style="271"/>
    <col min="15617" max="15617" width="1.42578125" style="271" customWidth="1"/>
    <col min="15618" max="15618" width="21.7109375" style="271" customWidth="1"/>
    <col min="15619" max="15619" width="11.42578125" style="271" customWidth="1"/>
    <col min="15620" max="15621" width="9.140625" style="271"/>
    <col min="15622" max="15622" width="11.85546875" style="271" customWidth="1"/>
    <col min="15623" max="15623" width="14.5703125" style="271" customWidth="1"/>
    <col min="15624" max="15624" width="13.7109375" style="271" customWidth="1"/>
    <col min="15625" max="15625" width="12.42578125" style="271" customWidth="1"/>
    <col min="15626" max="15626" width="15.140625" style="271" customWidth="1"/>
    <col min="15627" max="15627" width="19.28515625" style="271" customWidth="1"/>
    <col min="15628" max="15872" width="9.140625" style="271"/>
    <col min="15873" max="15873" width="1.42578125" style="271" customWidth="1"/>
    <col min="15874" max="15874" width="21.7109375" style="271" customWidth="1"/>
    <col min="15875" max="15875" width="11.42578125" style="271" customWidth="1"/>
    <col min="15876" max="15877" width="9.140625" style="271"/>
    <col min="15878" max="15878" width="11.85546875" style="271" customWidth="1"/>
    <col min="15879" max="15879" width="14.5703125" style="271" customWidth="1"/>
    <col min="15880" max="15880" width="13.7109375" style="271" customWidth="1"/>
    <col min="15881" max="15881" width="12.42578125" style="271" customWidth="1"/>
    <col min="15882" max="15882" width="15.140625" style="271" customWidth="1"/>
    <col min="15883" max="15883" width="19.28515625" style="271" customWidth="1"/>
    <col min="15884" max="16128" width="9.140625" style="271"/>
    <col min="16129" max="16129" width="1.42578125" style="271" customWidth="1"/>
    <col min="16130" max="16130" width="21.7109375" style="271" customWidth="1"/>
    <col min="16131" max="16131" width="11.42578125" style="271" customWidth="1"/>
    <col min="16132" max="16133" width="9.140625" style="271"/>
    <col min="16134" max="16134" width="11.85546875" style="271" customWidth="1"/>
    <col min="16135" max="16135" width="14.5703125" style="271" customWidth="1"/>
    <col min="16136" max="16136" width="13.7109375" style="271" customWidth="1"/>
    <col min="16137" max="16137" width="12.42578125" style="271" customWidth="1"/>
    <col min="16138" max="16138" width="15.140625" style="271" customWidth="1"/>
    <col min="16139" max="16139" width="19.28515625" style="271" customWidth="1"/>
    <col min="16140" max="16384" width="9.140625" style="271"/>
  </cols>
  <sheetData>
    <row r="1" spans="2:11">
      <c r="B1" s="272"/>
      <c r="C1" s="272"/>
      <c r="D1" s="272"/>
      <c r="E1" s="272"/>
      <c r="F1" s="272"/>
      <c r="G1" s="272"/>
      <c r="H1" s="272"/>
      <c r="I1" s="272"/>
      <c r="J1" s="272"/>
      <c r="K1" s="272"/>
    </row>
    <row r="2" spans="2:11" ht="27.75" customHeight="1">
      <c r="B2" s="1200" t="s">
        <v>401</v>
      </c>
      <c r="C2" s="1200"/>
      <c r="D2" s="1200"/>
      <c r="E2" s="1200"/>
      <c r="F2" s="1200"/>
      <c r="G2" s="1200"/>
      <c r="H2" s="1200"/>
      <c r="I2" s="1200"/>
      <c r="J2" s="1200"/>
      <c r="K2" s="1200"/>
    </row>
    <row r="3" spans="2:11" ht="7.5" customHeight="1">
      <c r="B3" s="1201"/>
      <c r="C3" s="1201"/>
      <c r="D3" s="1201"/>
      <c r="E3" s="1201"/>
      <c r="F3" s="1201"/>
      <c r="G3" s="1201"/>
      <c r="H3" s="1201"/>
      <c r="I3" s="1201"/>
      <c r="J3" s="1201"/>
      <c r="K3" s="1201"/>
    </row>
    <row r="4" spans="2:11" s="276" customFormat="1" ht="36.75" customHeight="1">
      <c r="B4" s="273" t="s">
        <v>68</v>
      </c>
      <c r="C4" s="274" t="s">
        <v>402</v>
      </c>
      <c r="D4" s="273" t="s">
        <v>403</v>
      </c>
      <c r="E4" s="273" t="s">
        <v>404</v>
      </c>
      <c r="F4" s="273" t="s">
        <v>49</v>
      </c>
      <c r="G4" s="274" t="s">
        <v>405</v>
      </c>
      <c r="H4" s="274" t="s">
        <v>406</v>
      </c>
      <c r="I4" s="274" t="s">
        <v>407</v>
      </c>
      <c r="J4" s="275" t="s">
        <v>408</v>
      </c>
      <c r="K4" s="274" t="s">
        <v>409</v>
      </c>
    </row>
    <row r="5" spans="2:11" ht="24.95" customHeight="1">
      <c r="B5" s="277"/>
      <c r="C5" s="277"/>
      <c r="D5" s="277"/>
      <c r="E5" s="277"/>
      <c r="F5" s="277"/>
      <c r="G5" s="277"/>
      <c r="H5" s="277"/>
      <c r="I5" s="277"/>
      <c r="J5" s="277"/>
      <c r="K5" s="277"/>
    </row>
    <row r="6" spans="2:11" ht="24.95" customHeight="1">
      <c r="B6" s="278"/>
      <c r="C6" s="278"/>
      <c r="D6" s="278"/>
      <c r="E6" s="278"/>
      <c r="F6" s="278"/>
      <c r="G6" s="278"/>
      <c r="H6" s="278"/>
      <c r="I6" s="278"/>
      <c r="J6" s="278"/>
      <c r="K6" s="278"/>
    </row>
    <row r="7" spans="2:11" ht="24.95" customHeight="1">
      <c r="B7" s="277"/>
      <c r="C7" s="277"/>
      <c r="D7" s="277"/>
      <c r="E7" s="277"/>
      <c r="F7" s="277"/>
      <c r="G7" s="277"/>
      <c r="H7" s="277"/>
      <c r="I7" s="277"/>
      <c r="J7" s="277"/>
      <c r="K7" s="277"/>
    </row>
    <row r="8" spans="2:11" ht="24.95" customHeight="1">
      <c r="B8" s="277"/>
      <c r="C8" s="277"/>
      <c r="D8" s="277"/>
      <c r="E8" s="277"/>
      <c r="F8" s="277"/>
      <c r="G8" s="277"/>
      <c r="H8" s="277"/>
      <c r="I8" s="277"/>
      <c r="J8" s="277"/>
      <c r="K8" s="277"/>
    </row>
    <row r="9" spans="2:11" ht="24.95" customHeight="1">
      <c r="B9" s="277"/>
      <c r="C9" s="277"/>
      <c r="D9" s="277"/>
      <c r="E9" s="277"/>
      <c r="F9" s="277"/>
      <c r="G9" s="277"/>
      <c r="H9" s="277"/>
      <c r="I9" s="277"/>
      <c r="J9" s="277"/>
      <c r="K9" s="277"/>
    </row>
    <row r="10" spans="2:11" ht="24.95" customHeight="1">
      <c r="B10" s="277"/>
      <c r="C10" s="277"/>
      <c r="D10" s="277"/>
      <c r="E10" s="277"/>
      <c r="F10" s="277"/>
      <c r="G10" s="277"/>
      <c r="H10" s="277"/>
      <c r="I10" s="277"/>
      <c r="J10" s="277"/>
      <c r="K10" s="277"/>
    </row>
    <row r="11" spans="2:11" ht="24.95" customHeight="1">
      <c r="B11" s="277"/>
      <c r="C11" s="277"/>
      <c r="D11" s="277"/>
      <c r="E11" s="277"/>
      <c r="F11" s="277"/>
      <c r="G11" s="277"/>
      <c r="H11" s="277"/>
      <c r="I11" s="277"/>
      <c r="J11" s="277"/>
      <c r="K11" s="277"/>
    </row>
    <row r="12" spans="2:11" ht="24.95" customHeight="1">
      <c r="B12" s="277"/>
      <c r="C12" s="277"/>
      <c r="D12" s="277"/>
      <c r="E12" s="277"/>
      <c r="F12" s="277"/>
      <c r="G12" s="277"/>
      <c r="H12" s="277"/>
      <c r="I12" s="277"/>
      <c r="J12" s="277"/>
      <c r="K12" s="277"/>
    </row>
    <row r="13" spans="2:11" ht="24.95" customHeight="1">
      <c r="B13" s="277"/>
      <c r="C13" s="277"/>
      <c r="D13" s="277"/>
      <c r="E13" s="277"/>
      <c r="F13" s="277"/>
      <c r="G13" s="277"/>
      <c r="H13" s="277"/>
      <c r="I13" s="277"/>
      <c r="J13" s="277"/>
      <c r="K13" s="277"/>
    </row>
    <row r="14" spans="2:11" ht="24.95" customHeight="1">
      <c r="B14" s="277"/>
      <c r="C14" s="277"/>
      <c r="D14" s="277"/>
      <c r="E14" s="277"/>
      <c r="F14" s="277"/>
      <c r="G14" s="277"/>
      <c r="H14" s="277"/>
      <c r="I14" s="277"/>
      <c r="J14" s="277"/>
      <c r="K14" s="277"/>
    </row>
    <row r="15" spans="2:11" ht="24.95" customHeight="1">
      <c r="B15" s="277"/>
      <c r="C15" s="277"/>
      <c r="D15" s="277"/>
      <c r="E15" s="277"/>
      <c r="F15" s="277"/>
      <c r="G15" s="277"/>
      <c r="H15" s="277"/>
      <c r="I15" s="277"/>
      <c r="J15" s="277"/>
      <c r="K15" s="277"/>
    </row>
    <row r="16" spans="2:11" ht="24.95" customHeight="1">
      <c r="B16" s="277"/>
      <c r="C16" s="277"/>
      <c r="D16" s="277"/>
      <c r="E16" s="277"/>
      <c r="F16" s="277"/>
      <c r="G16" s="277"/>
      <c r="H16" s="277"/>
      <c r="I16" s="277"/>
      <c r="J16" s="277"/>
      <c r="K16" s="277"/>
    </row>
    <row r="17" spans="2:11" ht="24.95" customHeight="1">
      <c r="B17" s="277"/>
      <c r="C17" s="277"/>
      <c r="D17" s="277"/>
      <c r="E17" s="277"/>
      <c r="F17" s="277"/>
      <c r="G17" s="277"/>
      <c r="H17" s="277"/>
      <c r="I17" s="277"/>
      <c r="J17" s="277"/>
      <c r="K17" s="277"/>
    </row>
    <row r="18" spans="2:11" ht="24.95" customHeight="1">
      <c r="B18" s="277"/>
      <c r="C18" s="277"/>
      <c r="D18" s="277"/>
      <c r="E18" s="277"/>
      <c r="F18" s="277"/>
      <c r="G18" s="277"/>
      <c r="H18" s="277"/>
      <c r="I18" s="277"/>
      <c r="J18" s="277"/>
      <c r="K18" s="277"/>
    </row>
    <row r="19" spans="2:11" ht="23.25" customHeight="1">
      <c r="B19" s="279" t="s">
        <v>410</v>
      </c>
      <c r="C19" s="272"/>
      <c r="D19" s="272"/>
      <c r="E19" s="272"/>
      <c r="F19" s="272"/>
      <c r="G19" s="272"/>
      <c r="H19" s="272"/>
      <c r="I19" s="272"/>
      <c r="J19" s="272"/>
      <c r="K19" s="272"/>
    </row>
  </sheetData>
  <mergeCells count="1">
    <mergeCell ref="B2:K3"/>
  </mergeCells>
  <pageMargins left="0.51" right="0.41" top="0.56000000000000005" bottom="0.69" header="0.42" footer="0.5"/>
  <pageSetup paperSize="9" scale="94" orientation="landscape" horizontalDpi="4294967293" vertic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>
    <tabColor rgb="FFC00000"/>
  </sheetPr>
  <dimension ref="A1:G42"/>
  <sheetViews>
    <sheetView showGridLines="0" showZeros="0" view="pageBreakPreview" topLeftCell="B1" zoomScale="115" zoomScaleNormal="100" zoomScaleSheetLayoutView="115" workbookViewId="0">
      <pane ySplit="9" topLeftCell="A13" activePane="bottomLeft" state="frozen"/>
      <selection activeCell="B1" sqref="B1"/>
      <selection pane="bottomLeft" activeCell="B24" sqref="B24:G24"/>
    </sheetView>
  </sheetViews>
  <sheetFormatPr defaultColWidth="11.42578125" defaultRowHeight="12.75"/>
  <cols>
    <col min="1" max="1" width="0.140625" style="291" hidden="1" customWidth="1"/>
    <col min="2" max="2" width="6.140625" style="303" customWidth="1"/>
    <col min="3" max="3" width="36" style="303" customWidth="1"/>
    <col min="4" max="4" width="34" style="303" customWidth="1"/>
    <col min="5" max="5" width="19.5703125" style="303" customWidth="1"/>
    <col min="6" max="6" width="9.7109375" style="304" customWidth="1"/>
    <col min="7" max="7" width="7.140625" style="303" customWidth="1"/>
    <col min="8" max="16384" width="11.42578125" style="291"/>
  </cols>
  <sheetData>
    <row r="1" spans="2:7" ht="18.75" customHeight="1">
      <c r="B1" s="1217" t="s">
        <v>5</v>
      </c>
      <c r="C1" s="1218"/>
      <c r="D1" s="1218"/>
      <c r="E1" s="1218"/>
      <c r="F1" s="1218"/>
      <c r="G1" s="1218"/>
    </row>
    <row r="2" spans="2:7" ht="18.75" customHeight="1">
      <c r="B2" s="1219" t="s">
        <v>110</v>
      </c>
      <c r="C2" s="1219"/>
      <c r="D2" s="1219"/>
      <c r="E2" s="1219"/>
      <c r="F2" s="1219"/>
      <c r="G2" s="1219"/>
    </row>
    <row r="3" spans="2:7" ht="18.75" customHeight="1">
      <c r="B3" s="292"/>
      <c r="C3" s="292"/>
      <c r="D3" s="292"/>
      <c r="E3" s="292"/>
      <c r="F3" s="293"/>
      <c r="G3" s="292"/>
    </row>
    <row r="4" spans="2:7" s="294" customFormat="1" ht="18.75" customHeight="1">
      <c r="B4" s="1204" t="s">
        <v>93</v>
      </c>
      <c r="C4" s="1205"/>
      <c r="D4" s="530" t="s">
        <v>163</v>
      </c>
      <c r="E4" s="1224" t="s">
        <v>227</v>
      </c>
      <c r="F4" s="1225"/>
      <c r="G4" s="1226"/>
    </row>
    <row r="5" spans="2:7" s="295" customFormat="1" ht="18.75" customHeight="1">
      <c r="B5" s="1220" t="str">
        <f>M.Menu!E3</f>
        <v>Energy Endurance</v>
      </c>
      <c r="C5" s="1221"/>
      <c r="D5" s="308">
        <f>M.Menu!L3</f>
        <v>9948695</v>
      </c>
      <c r="E5" s="1227" t="str">
        <f>M.Menu!L11&amp;", "&amp;M.Menu!L12</f>
        <v>Sabine Pass, U.S.A.</v>
      </c>
      <c r="F5" s="1228"/>
      <c r="G5" s="1229"/>
    </row>
    <row r="6" spans="2:7" s="294" customFormat="1" ht="18.75" customHeight="1">
      <c r="B6" s="1204" t="s">
        <v>49</v>
      </c>
      <c r="C6" s="1205"/>
      <c r="D6" s="530" t="s">
        <v>132</v>
      </c>
      <c r="E6" s="1224" t="s">
        <v>153</v>
      </c>
      <c r="F6" s="1225"/>
      <c r="G6" s="1226"/>
    </row>
    <row r="7" spans="2:7" s="295" customFormat="1" ht="18.75" customHeight="1">
      <c r="B7" s="1206" t="str">
        <f>M.Menu!L8</f>
        <v>Marshall Islands</v>
      </c>
      <c r="C7" s="1207"/>
      <c r="D7" s="309" t="str">
        <f>M.Menu!E4</f>
        <v>V7A7282</v>
      </c>
      <c r="E7" s="1230">
        <f>M.Menu!L13</f>
        <v>46106</v>
      </c>
      <c r="F7" s="1231"/>
      <c r="G7" s="1232"/>
    </row>
    <row r="8" spans="2:7" ht="18.75" customHeight="1">
      <c r="B8" s="296"/>
      <c r="C8" s="296"/>
      <c r="D8" s="297"/>
      <c r="E8" s="297"/>
      <c r="F8" s="298"/>
      <c r="G8" s="299"/>
    </row>
    <row r="9" spans="2:7" s="294" customFormat="1" ht="18.75" customHeight="1">
      <c r="B9" s="310" t="s">
        <v>44</v>
      </c>
      <c r="C9" s="1222" t="s">
        <v>4</v>
      </c>
      <c r="D9" s="1223"/>
      <c r="E9" s="586" t="s">
        <v>297</v>
      </c>
      <c r="F9" s="1208" t="s">
        <v>123</v>
      </c>
      <c r="G9" s="1209"/>
    </row>
    <row r="10" spans="2:7" s="549" customFormat="1" ht="29.25" customHeight="1">
      <c r="B10" s="547">
        <v>1</v>
      </c>
      <c r="C10" s="893" t="s">
        <v>549</v>
      </c>
      <c r="D10" s="893" t="s">
        <v>550</v>
      </c>
      <c r="E10" s="548">
        <v>46357</v>
      </c>
      <c r="F10" s="1210" t="s">
        <v>566</v>
      </c>
      <c r="G10" s="1211"/>
    </row>
    <row r="11" spans="2:7" s="549" customFormat="1" ht="29.25" customHeight="1">
      <c r="B11" s="547">
        <v>2</v>
      </c>
      <c r="C11" s="893" t="s">
        <v>551</v>
      </c>
      <c r="D11" s="893" t="s">
        <v>552</v>
      </c>
      <c r="E11" s="550">
        <v>46327</v>
      </c>
      <c r="F11" s="1210">
        <v>49</v>
      </c>
      <c r="G11" s="1211"/>
    </row>
    <row r="12" spans="2:7" s="549" customFormat="1" ht="29.25" customHeight="1">
      <c r="B12" s="547">
        <v>3</v>
      </c>
      <c r="C12" s="893" t="s">
        <v>553</v>
      </c>
      <c r="D12" s="893" t="s">
        <v>554</v>
      </c>
      <c r="E12" s="550">
        <v>46174</v>
      </c>
      <c r="F12" s="1212" t="s">
        <v>569</v>
      </c>
      <c r="G12" s="1213"/>
    </row>
    <row r="13" spans="2:7" s="549" customFormat="1" ht="29.25" customHeight="1">
      <c r="B13" s="547">
        <v>4</v>
      </c>
      <c r="C13" s="893" t="s">
        <v>555</v>
      </c>
      <c r="D13" s="893" t="s">
        <v>556</v>
      </c>
      <c r="E13" s="551">
        <v>46266</v>
      </c>
      <c r="F13" s="1212" t="s">
        <v>568</v>
      </c>
      <c r="G13" s="1213"/>
    </row>
    <row r="14" spans="2:7" s="549" customFormat="1" ht="29.25" customHeight="1">
      <c r="B14" s="547">
        <v>5</v>
      </c>
      <c r="C14" s="893" t="s">
        <v>557</v>
      </c>
      <c r="D14" s="893" t="s">
        <v>558</v>
      </c>
      <c r="E14" s="551">
        <v>46235</v>
      </c>
      <c r="F14" s="1212" t="s">
        <v>569</v>
      </c>
      <c r="G14" s="1213"/>
    </row>
    <row r="15" spans="2:7" s="549" customFormat="1" ht="29.25" customHeight="1">
      <c r="B15" s="547">
        <v>6</v>
      </c>
      <c r="C15" s="972" t="s">
        <v>559</v>
      </c>
      <c r="D15" s="972" t="s">
        <v>725</v>
      </c>
      <c r="E15" s="551">
        <v>46784</v>
      </c>
      <c r="F15" s="1212" t="s">
        <v>569</v>
      </c>
      <c r="G15" s="1213"/>
    </row>
    <row r="16" spans="2:7" s="549" customFormat="1" ht="29.25" customHeight="1">
      <c r="B16" s="547">
        <v>7</v>
      </c>
      <c r="C16" s="893" t="s">
        <v>560</v>
      </c>
      <c r="D16" s="893" t="s">
        <v>561</v>
      </c>
      <c r="E16" s="551" t="s">
        <v>722</v>
      </c>
      <c r="F16" s="1212" t="s">
        <v>721</v>
      </c>
      <c r="G16" s="1213"/>
    </row>
    <row r="17" spans="2:7" s="549" customFormat="1" ht="29.25" customHeight="1">
      <c r="B17" s="547">
        <v>8</v>
      </c>
      <c r="C17" s="893" t="s">
        <v>562</v>
      </c>
      <c r="D17" s="893" t="s">
        <v>563</v>
      </c>
      <c r="E17" s="894" t="s">
        <v>822</v>
      </c>
      <c r="F17" s="1212" t="s">
        <v>721</v>
      </c>
      <c r="G17" s="1213"/>
    </row>
    <row r="18" spans="2:7" s="549" customFormat="1" ht="29.25" customHeight="1">
      <c r="B18" s="547">
        <v>9</v>
      </c>
      <c r="C18" s="893" t="s">
        <v>564</v>
      </c>
      <c r="D18" s="893" t="s">
        <v>565</v>
      </c>
      <c r="E18" s="551">
        <v>46113</v>
      </c>
      <c r="F18" s="1212" t="s">
        <v>567</v>
      </c>
      <c r="G18" s="1213"/>
    </row>
    <row r="19" spans="2:7" s="549" customFormat="1" ht="29.25" customHeight="1">
      <c r="B19" s="547">
        <v>10</v>
      </c>
      <c r="C19" s="893" t="s">
        <v>723</v>
      </c>
      <c r="D19" s="893" t="s">
        <v>724</v>
      </c>
      <c r="E19" s="551">
        <v>46234</v>
      </c>
      <c r="F19" s="1212" t="s">
        <v>569</v>
      </c>
      <c r="G19" s="1213"/>
    </row>
    <row r="20" spans="2:7" s="549" customFormat="1" ht="29.25" customHeight="1">
      <c r="B20" s="547">
        <v>11</v>
      </c>
      <c r="C20" s="893" t="s">
        <v>726</v>
      </c>
      <c r="D20" s="893" t="s">
        <v>727</v>
      </c>
      <c r="E20" s="551">
        <v>46722</v>
      </c>
      <c r="F20" s="1212" t="s">
        <v>567</v>
      </c>
      <c r="G20" s="1213"/>
    </row>
    <row r="21" spans="2:7" s="549" customFormat="1" ht="29.25" customHeight="1">
      <c r="B21" s="547">
        <v>12</v>
      </c>
      <c r="C21" s="893" t="s">
        <v>733</v>
      </c>
      <c r="D21" s="893" t="s">
        <v>728</v>
      </c>
      <c r="E21" s="551">
        <v>46174</v>
      </c>
      <c r="F21" s="1212" t="s">
        <v>729</v>
      </c>
      <c r="G21" s="1213"/>
    </row>
    <row r="22" spans="2:7" s="549" customFormat="1" ht="29.25" customHeight="1">
      <c r="B22" s="547">
        <v>13</v>
      </c>
      <c r="C22" s="893" t="s">
        <v>730</v>
      </c>
      <c r="D22" s="893" t="s">
        <v>732</v>
      </c>
      <c r="E22" s="551">
        <v>46143</v>
      </c>
      <c r="F22" s="1212" t="s">
        <v>731</v>
      </c>
      <c r="G22" s="1213"/>
    </row>
    <row r="23" spans="2:7" s="549" customFormat="1" ht="29.25" customHeight="1">
      <c r="E23" s="549" t="s">
        <v>143</v>
      </c>
    </row>
    <row r="24" spans="2:7" s="549" customFormat="1" ht="29.25" customHeight="1">
      <c r="B24" s="1214" t="s">
        <v>155</v>
      </c>
      <c r="C24" s="1215"/>
      <c r="D24" s="1215"/>
      <c r="E24" s="1215"/>
      <c r="F24" s="1215"/>
      <c r="G24" s="1216"/>
    </row>
    <row r="25" spans="2:7" ht="12.75" customHeight="1">
      <c r="B25" s="301"/>
      <c r="C25" s="301"/>
      <c r="D25" s="301"/>
      <c r="E25" s="301"/>
      <c r="F25" s="301"/>
      <c r="G25" s="301"/>
    </row>
    <row r="26" spans="2:7" ht="12.75" customHeight="1">
      <c r="B26" s="302"/>
    </row>
    <row r="27" spans="2:7" ht="12.75" customHeight="1">
      <c r="B27" s="302"/>
      <c r="C27" s="305"/>
      <c r="D27" s="306"/>
      <c r="E27" s="1202" t="str">
        <f>M.Menu!S15</f>
        <v>CAPT. WENDT ROBERT</v>
      </c>
      <c r="F27" s="1202"/>
      <c r="G27" s="1202"/>
    </row>
    <row r="28" spans="2:7" ht="12.75" customHeight="1">
      <c r="B28" s="302"/>
      <c r="E28" s="1203" t="s">
        <v>39</v>
      </c>
      <c r="F28" s="1203"/>
      <c r="G28" s="1203"/>
    </row>
    <row r="29" spans="2:7" ht="12.75" customHeight="1">
      <c r="B29" s="307"/>
    </row>
    <row r="30" spans="2:7" ht="12.75" customHeight="1"/>
    <row r="31" spans="2:7" ht="12.75" customHeight="1"/>
    <row r="32" spans="2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</sheetData>
  <sheetProtection formatRows="0" insertRows="0" deleteRows="0" selectLockedCells="1"/>
  <mergeCells count="28">
    <mergeCell ref="F20:G20"/>
    <mergeCell ref="F16:G16"/>
    <mergeCell ref="F14:G14"/>
    <mergeCell ref="B1:G1"/>
    <mergeCell ref="B2:G2"/>
    <mergeCell ref="B4:C4"/>
    <mergeCell ref="B5:C5"/>
    <mergeCell ref="C9:D9"/>
    <mergeCell ref="E4:G4"/>
    <mergeCell ref="E5:G5"/>
    <mergeCell ref="E6:G6"/>
    <mergeCell ref="E7:G7"/>
    <mergeCell ref="E27:G27"/>
    <mergeCell ref="E28:G28"/>
    <mergeCell ref="B6:C6"/>
    <mergeCell ref="B7:C7"/>
    <mergeCell ref="F9:G9"/>
    <mergeCell ref="F11:G11"/>
    <mergeCell ref="F12:G12"/>
    <mergeCell ref="F13:G13"/>
    <mergeCell ref="F15:G15"/>
    <mergeCell ref="B24:G24"/>
    <mergeCell ref="F10:G10"/>
    <mergeCell ref="F22:G22"/>
    <mergeCell ref="F17:G17"/>
    <mergeCell ref="F18:G18"/>
    <mergeCell ref="F21:G21"/>
    <mergeCell ref="F19:G19"/>
  </mergeCells>
  <printOptions horizontalCentered="1"/>
  <pageMargins left="0.23622047244094491" right="0.35433070866141736" top="0.39370078740157483" bottom="0" header="0.51181102362204722" footer="0.55118110236220474"/>
  <pageSetup paperSize="9" scale="8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>
    <tabColor rgb="FFC00000"/>
  </sheetPr>
  <dimension ref="A1:AC54"/>
  <sheetViews>
    <sheetView showGridLines="0" showZeros="0" showOutlineSymbols="0" view="pageBreakPreview" zoomScale="70" zoomScaleNormal="100" zoomScaleSheetLayoutView="70" zoomScalePageLayoutView="75" workbookViewId="0">
      <selection activeCell="W19" sqref="W19"/>
    </sheetView>
  </sheetViews>
  <sheetFormatPr defaultColWidth="9.140625" defaultRowHeight="12.75"/>
  <cols>
    <col min="1" max="1" width="10.85546875" style="553" customWidth="1"/>
    <col min="2" max="2" width="10.42578125" style="553" customWidth="1"/>
    <col min="3" max="3" width="11.5703125" style="553" customWidth="1"/>
    <col min="4" max="4" width="1.7109375" style="553" customWidth="1"/>
    <col min="5" max="5" width="12.42578125" style="553" bestFit="1" customWidth="1"/>
    <col min="6" max="6" width="9.140625" style="553"/>
    <col min="7" max="7" width="2.85546875" style="553" customWidth="1"/>
    <col min="8" max="8" width="6" style="553" customWidth="1"/>
    <col min="9" max="9" width="9.140625" style="553" customWidth="1"/>
    <col min="10" max="10" width="7.5703125" style="553" customWidth="1"/>
    <col min="11" max="11" width="0.42578125" style="553" hidden="1" customWidth="1"/>
    <col min="12" max="12" width="9.140625" style="553"/>
    <col min="13" max="13" width="6.28515625" style="553" customWidth="1"/>
    <col min="14" max="14" width="9.140625" style="553"/>
    <col min="15" max="15" width="8.140625" style="553" customWidth="1"/>
    <col min="16" max="16" width="2.5703125" style="553" hidden="1" customWidth="1"/>
    <col min="17" max="17" width="4.28515625" style="553" hidden="1" customWidth="1"/>
    <col min="18" max="18" width="1.5703125" style="553" hidden="1" customWidth="1"/>
    <col min="19" max="19" width="14.28515625" style="553" bestFit="1" customWidth="1"/>
    <col min="20" max="20" width="5.28515625" style="553" customWidth="1"/>
    <col min="21" max="21" width="1.7109375" style="553" customWidth="1"/>
    <col min="22" max="22" width="15.140625" style="553" customWidth="1"/>
    <col min="23" max="23" width="14.7109375" style="553" customWidth="1"/>
    <col min="24" max="24" width="9.140625" style="553"/>
    <col min="25" max="25" width="7.5703125" style="553" customWidth="1"/>
    <col min="26" max="26" width="0.28515625" style="553" hidden="1" customWidth="1"/>
    <col min="27" max="27" width="9.140625" style="553"/>
    <col min="28" max="28" width="3" style="553" customWidth="1"/>
    <col min="29" max="29" width="1.140625" style="553" customWidth="1"/>
    <col min="30" max="16384" width="9.140625" style="553"/>
  </cols>
  <sheetData>
    <row r="1" spans="1:29" ht="22.5">
      <c r="A1" s="552"/>
      <c r="B1" s="552"/>
      <c r="C1" s="552"/>
      <c r="D1" s="552"/>
      <c r="E1" s="552"/>
      <c r="F1" s="1233" t="s">
        <v>444</v>
      </c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552"/>
      <c r="X1" s="552"/>
      <c r="Y1" s="552"/>
      <c r="Z1" s="552"/>
      <c r="AA1" s="552"/>
      <c r="AB1" s="552"/>
      <c r="AC1" s="552"/>
    </row>
    <row r="2" spans="1:29" ht="18.95" customHeight="1">
      <c r="A2" s="552"/>
      <c r="B2" s="552"/>
      <c r="C2" s="552"/>
      <c r="D2" s="552"/>
      <c r="E2" s="552"/>
      <c r="F2" s="1234" t="s">
        <v>445</v>
      </c>
      <c r="G2" s="1234"/>
      <c r="H2" s="1234"/>
      <c r="I2" s="1234"/>
      <c r="J2" s="1234"/>
      <c r="K2" s="1234"/>
      <c r="L2" s="1234"/>
      <c r="M2" s="1234"/>
      <c r="N2" s="1234"/>
      <c r="O2" s="1234"/>
      <c r="P2" s="1234"/>
      <c r="Q2" s="1234"/>
      <c r="R2" s="1234"/>
      <c r="S2" s="1234"/>
      <c r="T2" s="1234"/>
      <c r="U2" s="1234"/>
      <c r="V2" s="1234"/>
      <c r="W2" s="552"/>
      <c r="X2" s="552"/>
      <c r="Y2" s="552"/>
      <c r="Z2" s="552"/>
      <c r="AA2" s="552"/>
      <c r="AB2" s="552"/>
      <c r="AC2" s="552"/>
    </row>
    <row r="3" spans="1:29" ht="15.75">
      <c r="A3" s="1235"/>
      <c r="B3" s="1235"/>
      <c r="C3" s="1235"/>
      <c r="D3" s="1235"/>
      <c r="E3" s="1235"/>
      <c r="F3" s="1235"/>
      <c r="G3" s="1235"/>
      <c r="H3" s="1235"/>
      <c r="I3" s="1235"/>
      <c r="J3" s="554"/>
      <c r="K3" s="1236" t="s">
        <v>447</v>
      </c>
      <c r="L3" s="1236"/>
      <c r="M3" s="1235"/>
      <c r="N3" s="1235"/>
      <c r="O3" s="554" t="s">
        <v>446</v>
      </c>
      <c r="P3" s="1236" t="s">
        <v>448</v>
      </c>
      <c r="Q3" s="1236"/>
      <c r="R3" s="1236"/>
      <c r="S3" s="1236"/>
      <c r="T3" s="554">
        <v>1</v>
      </c>
      <c r="U3" s="1236" t="s">
        <v>449</v>
      </c>
      <c r="V3" s="1236"/>
      <c r="W3" s="1236"/>
      <c r="X3" s="555"/>
      <c r="Y3" s="555"/>
      <c r="Z3" s="1236"/>
      <c r="AA3" s="1236"/>
      <c r="AB3" s="555"/>
      <c r="AC3" s="555"/>
    </row>
    <row r="4" spans="1:29" ht="6" customHeight="1">
      <c r="A4" s="1237" t="s">
        <v>387</v>
      </c>
      <c r="B4" s="1238"/>
      <c r="C4" s="1258" t="str">
        <f>M.Menu!E3</f>
        <v>Energy Endurance</v>
      </c>
      <c r="D4" s="1258"/>
      <c r="E4" s="1258"/>
      <c r="F4" s="1258"/>
      <c r="G4" s="1259"/>
      <c r="H4" s="1237" t="s">
        <v>450</v>
      </c>
      <c r="I4" s="1238"/>
      <c r="J4" s="1238"/>
      <c r="K4" s="556"/>
      <c r="L4" s="1262">
        <f>M.Menu!L3</f>
        <v>9948695</v>
      </c>
      <c r="M4" s="1263"/>
      <c r="N4" s="1263"/>
      <c r="O4" s="1263"/>
      <c r="P4" s="1263"/>
      <c r="Q4" s="1263"/>
      <c r="R4" s="1263"/>
      <c r="S4" s="1264"/>
      <c r="T4" s="556"/>
      <c r="U4" s="1246" t="s">
        <v>451</v>
      </c>
      <c r="V4" s="1246"/>
      <c r="W4" s="1246"/>
      <c r="X4" s="1267" t="str">
        <f>M.Menu!E4</f>
        <v>V7A7282</v>
      </c>
      <c r="Y4" s="1267"/>
      <c r="Z4" s="1267"/>
      <c r="AA4" s="1267"/>
      <c r="AB4" s="1267"/>
      <c r="AC4" s="557"/>
    </row>
    <row r="5" spans="1:29" ht="35.1" customHeight="1" thickBot="1">
      <c r="A5" s="1256"/>
      <c r="B5" s="1257"/>
      <c r="C5" s="1260"/>
      <c r="D5" s="1260"/>
      <c r="E5" s="1260"/>
      <c r="F5" s="1260"/>
      <c r="G5" s="1261"/>
      <c r="H5" s="1256"/>
      <c r="I5" s="1257"/>
      <c r="J5" s="1257"/>
      <c r="K5" s="558"/>
      <c r="L5" s="1265"/>
      <c r="M5" s="1265"/>
      <c r="N5" s="1265"/>
      <c r="O5" s="1265"/>
      <c r="P5" s="1265"/>
      <c r="Q5" s="1265"/>
      <c r="R5" s="1265"/>
      <c r="S5" s="1266"/>
      <c r="T5" s="559"/>
      <c r="U5" s="1236"/>
      <c r="V5" s="1236"/>
      <c r="W5" s="1236"/>
      <c r="X5" s="1268"/>
      <c r="Y5" s="1268"/>
      <c r="Z5" s="1268"/>
      <c r="AA5" s="1268"/>
      <c r="AB5" s="1268"/>
      <c r="AC5" s="560"/>
    </row>
    <row r="6" spans="1:29" ht="12.75" customHeight="1">
      <c r="A6" s="1237" t="s">
        <v>452</v>
      </c>
      <c r="B6" s="1238"/>
      <c r="C6" s="1241" t="str">
        <f>M.Menu!S13</f>
        <v>VOY16</v>
      </c>
      <c r="D6" s="1242"/>
      <c r="E6" s="1245" t="s">
        <v>453</v>
      </c>
      <c r="F6" s="1246"/>
      <c r="G6" s="1246"/>
      <c r="H6" s="1248" t="str">
        <f>M.Menu!L11&amp;", "&amp;M.Menu!L12</f>
        <v>Sabine Pass, U.S.A.</v>
      </c>
      <c r="I6" s="1248"/>
      <c r="J6" s="1249"/>
      <c r="K6" s="1245" t="s">
        <v>454</v>
      </c>
      <c r="L6" s="1246"/>
      <c r="M6" s="1246"/>
      <c r="N6" s="1246"/>
      <c r="O6" s="1246"/>
      <c r="P6" s="1246"/>
      <c r="Q6" s="1252"/>
      <c r="R6" s="561" t="s">
        <v>455</v>
      </c>
      <c r="S6" s="1254">
        <f>M.Menu!L13</f>
        <v>46106</v>
      </c>
      <c r="T6" s="1245" t="s">
        <v>456</v>
      </c>
      <c r="U6" s="1246"/>
      <c r="V6" s="1246"/>
      <c r="W6" s="1246"/>
      <c r="X6" s="1269" t="str">
        <f>M.Menu!L8</f>
        <v>Marshall Islands</v>
      </c>
      <c r="Y6" s="1267"/>
      <c r="Z6" s="1267"/>
      <c r="AA6" s="1267"/>
      <c r="AB6" s="1270"/>
      <c r="AC6" s="562"/>
    </row>
    <row r="7" spans="1:29" ht="26.25" customHeight="1">
      <c r="A7" s="1239"/>
      <c r="B7" s="1240"/>
      <c r="C7" s="1243"/>
      <c r="D7" s="1244"/>
      <c r="E7" s="1247"/>
      <c r="F7" s="1236"/>
      <c r="G7" s="1236"/>
      <c r="H7" s="1250"/>
      <c r="I7" s="1250"/>
      <c r="J7" s="1251"/>
      <c r="K7" s="1247"/>
      <c r="L7" s="1236"/>
      <c r="M7" s="1236"/>
      <c r="N7" s="1236"/>
      <c r="O7" s="1236"/>
      <c r="P7" s="1236"/>
      <c r="Q7" s="1253"/>
      <c r="R7" s="563"/>
      <c r="S7" s="1255"/>
      <c r="T7" s="1247"/>
      <c r="U7" s="1236"/>
      <c r="V7" s="1236"/>
      <c r="W7" s="1236"/>
      <c r="X7" s="1268"/>
      <c r="Y7" s="1268"/>
      <c r="Z7" s="1268"/>
      <c r="AA7" s="1268"/>
      <c r="AB7" s="1271"/>
      <c r="AC7" s="564"/>
    </row>
    <row r="8" spans="1:29" s="566" customFormat="1" ht="82.5" customHeight="1">
      <c r="A8" s="565" t="s">
        <v>443</v>
      </c>
      <c r="B8" s="565" t="s">
        <v>457</v>
      </c>
      <c r="C8" s="1272" t="s">
        <v>458</v>
      </c>
      <c r="D8" s="1272"/>
      <c r="E8" s="565" t="s">
        <v>459</v>
      </c>
      <c r="F8" s="565" t="s">
        <v>245</v>
      </c>
      <c r="G8" s="1272" t="s">
        <v>460</v>
      </c>
      <c r="H8" s="1272"/>
      <c r="I8" s="1272" t="s">
        <v>461</v>
      </c>
      <c r="J8" s="1272"/>
      <c r="K8" s="1272"/>
      <c r="L8" s="1272" t="s">
        <v>246</v>
      </c>
      <c r="M8" s="1272"/>
      <c r="N8" s="1272" t="s">
        <v>247</v>
      </c>
      <c r="O8" s="1272"/>
      <c r="P8" s="1272"/>
      <c r="Q8" s="1272"/>
      <c r="R8" s="1272"/>
      <c r="S8" s="1272" t="s">
        <v>462</v>
      </c>
      <c r="T8" s="1272"/>
      <c r="U8" s="1272"/>
      <c r="V8" s="565" t="s">
        <v>463</v>
      </c>
      <c r="W8" s="565" t="s">
        <v>464</v>
      </c>
      <c r="X8" s="1272" t="s">
        <v>248</v>
      </c>
      <c r="Y8" s="1272"/>
      <c r="Z8" s="1272"/>
      <c r="AA8" s="1272" t="s">
        <v>249</v>
      </c>
      <c r="AB8" s="1272"/>
      <c r="AC8" s="1272"/>
    </row>
    <row r="9" spans="1:29" ht="30" customHeight="1">
      <c r="A9" s="578" t="s">
        <v>65</v>
      </c>
      <c r="B9" s="578"/>
      <c r="C9" s="1273"/>
      <c r="D9" s="1273"/>
      <c r="E9" s="579"/>
      <c r="F9" s="578"/>
      <c r="G9" s="1273"/>
      <c r="H9" s="1273"/>
      <c r="I9" s="1273"/>
      <c r="J9" s="1273"/>
      <c r="K9" s="1273"/>
      <c r="L9" s="1273"/>
      <c r="M9" s="1273"/>
      <c r="N9" s="1273"/>
      <c r="O9" s="1273"/>
      <c r="P9" s="1273"/>
      <c r="Q9" s="1273"/>
      <c r="R9" s="1273"/>
      <c r="S9" s="1275"/>
      <c r="T9" s="1273"/>
      <c r="U9" s="1273"/>
      <c r="V9" s="578"/>
      <c r="W9" s="578"/>
      <c r="X9" s="1273"/>
      <c r="Y9" s="1273"/>
      <c r="Z9" s="1273"/>
      <c r="AA9" s="1273"/>
      <c r="AB9" s="1273"/>
      <c r="AC9" s="1273"/>
    </row>
    <row r="10" spans="1:29" ht="30" customHeight="1">
      <c r="A10" s="580"/>
      <c r="B10" s="580"/>
      <c r="C10" s="1274"/>
      <c r="D10" s="1274"/>
      <c r="E10" s="580"/>
      <c r="F10" s="580"/>
      <c r="G10" s="1274"/>
      <c r="H10" s="1274"/>
      <c r="I10" s="1274"/>
      <c r="J10" s="1274"/>
      <c r="K10" s="1274"/>
      <c r="L10" s="1274"/>
      <c r="M10" s="1274"/>
      <c r="N10" s="1274"/>
      <c r="O10" s="1274"/>
      <c r="P10" s="1274"/>
      <c r="Q10" s="1274"/>
      <c r="R10" s="1274"/>
      <c r="S10" s="1274"/>
      <c r="T10" s="1274"/>
      <c r="U10" s="1274"/>
      <c r="V10" s="580"/>
      <c r="W10" s="580"/>
      <c r="X10" s="1274"/>
      <c r="Y10" s="1274"/>
      <c r="Z10" s="1274"/>
      <c r="AA10" s="1274"/>
      <c r="AB10" s="1274"/>
      <c r="AC10" s="1274"/>
    </row>
    <row r="11" spans="1:29" ht="30" customHeight="1">
      <c r="A11" s="580"/>
      <c r="B11" s="580"/>
      <c r="C11" s="1274"/>
      <c r="D11" s="1274"/>
      <c r="E11" s="580"/>
      <c r="F11" s="580"/>
      <c r="G11" s="1274"/>
      <c r="H11" s="1274"/>
      <c r="I11" s="1274"/>
      <c r="J11" s="1274"/>
      <c r="K11" s="1274"/>
      <c r="L11" s="1274"/>
      <c r="M11" s="1274"/>
      <c r="N11" s="1274"/>
      <c r="O11" s="1274"/>
      <c r="P11" s="1274"/>
      <c r="Q11" s="1274"/>
      <c r="R11" s="1274"/>
      <c r="S11" s="1274"/>
      <c r="T11" s="1274"/>
      <c r="U11" s="1274"/>
      <c r="V11" s="580"/>
      <c r="W11" s="580"/>
      <c r="X11" s="1274"/>
      <c r="Y11" s="1274"/>
      <c r="Z11" s="1274"/>
      <c r="AA11" s="1274"/>
      <c r="AB11" s="1274"/>
      <c r="AC11" s="1274"/>
    </row>
    <row r="12" spans="1:29" ht="30" customHeight="1">
      <c r="A12" s="580"/>
      <c r="B12" s="580"/>
      <c r="C12" s="1274"/>
      <c r="D12" s="1274"/>
      <c r="E12" s="580"/>
      <c r="F12" s="580"/>
      <c r="G12" s="1274"/>
      <c r="H12" s="1274"/>
      <c r="I12" s="1274"/>
      <c r="J12" s="1274"/>
      <c r="K12" s="1274"/>
      <c r="L12" s="1274"/>
      <c r="M12" s="1274"/>
      <c r="N12" s="1274"/>
      <c r="O12" s="1274"/>
      <c r="P12" s="1274"/>
      <c r="Q12" s="1274"/>
      <c r="R12" s="1274"/>
      <c r="S12" s="1274"/>
      <c r="T12" s="1274"/>
      <c r="U12" s="1274"/>
      <c r="V12" s="580"/>
      <c r="W12" s="580"/>
      <c r="X12" s="1274"/>
      <c r="Y12" s="1274"/>
      <c r="Z12" s="1274"/>
      <c r="AA12" s="1274"/>
      <c r="AB12" s="1274"/>
      <c r="AC12" s="1274"/>
    </row>
    <row r="13" spans="1:29" ht="30" customHeight="1">
      <c r="A13" s="580"/>
      <c r="B13" s="580"/>
      <c r="C13" s="1274"/>
      <c r="D13" s="1274"/>
      <c r="E13" s="580"/>
      <c r="F13" s="580"/>
      <c r="G13" s="1274"/>
      <c r="H13" s="1274"/>
      <c r="I13" s="1274"/>
      <c r="J13" s="1274"/>
      <c r="K13" s="1274"/>
      <c r="L13" s="1274"/>
      <c r="M13" s="1274"/>
      <c r="N13" s="1274"/>
      <c r="O13" s="1274"/>
      <c r="P13" s="1274"/>
      <c r="Q13" s="1274"/>
      <c r="R13" s="1274"/>
      <c r="S13" s="1274"/>
      <c r="T13" s="1274"/>
      <c r="U13" s="1274"/>
      <c r="V13" s="580"/>
      <c r="W13" s="580"/>
      <c r="X13" s="1274"/>
      <c r="Y13" s="1274"/>
      <c r="Z13" s="1274"/>
      <c r="AA13" s="1274"/>
      <c r="AB13" s="1274"/>
      <c r="AC13" s="1274"/>
    </row>
    <row r="14" spans="1:29" ht="30" customHeight="1">
      <c r="A14" s="580"/>
      <c r="B14" s="580"/>
      <c r="C14" s="1274"/>
      <c r="D14" s="1274"/>
      <c r="E14" s="580"/>
      <c r="F14" s="580"/>
      <c r="G14" s="1274"/>
      <c r="H14" s="1274"/>
      <c r="I14" s="1274"/>
      <c r="J14" s="1274"/>
      <c r="K14" s="1274"/>
      <c r="L14" s="1274"/>
      <c r="M14" s="1274"/>
      <c r="N14" s="1274"/>
      <c r="O14" s="1274"/>
      <c r="P14" s="1274"/>
      <c r="Q14" s="1274"/>
      <c r="R14" s="1274"/>
      <c r="S14" s="1274"/>
      <c r="T14" s="1274"/>
      <c r="U14" s="1274"/>
      <c r="V14" s="580"/>
      <c r="W14" s="580"/>
      <c r="X14" s="1274"/>
      <c r="Y14" s="1274"/>
      <c r="Z14" s="1274"/>
      <c r="AA14" s="1274"/>
      <c r="AB14" s="1274"/>
      <c r="AC14" s="1274"/>
    </row>
    <row r="15" spans="1:29" ht="30" customHeight="1">
      <c r="A15" s="580"/>
      <c r="B15" s="580"/>
      <c r="C15" s="1274"/>
      <c r="D15" s="1274"/>
      <c r="E15" s="580"/>
      <c r="F15" s="580"/>
      <c r="G15" s="1274"/>
      <c r="H15" s="1274"/>
      <c r="I15" s="1274"/>
      <c r="J15" s="1274"/>
      <c r="K15" s="1274"/>
      <c r="L15" s="1274"/>
      <c r="M15" s="1274"/>
      <c r="N15" s="1274"/>
      <c r="O15" s="1274"/>
      <c r="P15" s="1274"/>
      <c r="Q15" s="1274"/>
      <c r="R15" s="1274"/>
      <c r="S15" s="1274"/>
      <c r="T15" s="1274"/>
      <c r="U15" s="1274"/>
      <c r="V15" s="580"/>
      <c r="W15" s="580"/>
      <c r="X15" s="1274"/>
      <c r="Y15" s="1274"/>
      <c r="Z15" s="1274"/>
      <c r="AA15" s="1274"/>
      <c r="AB15" s="1274"/>
      <c r="AC15" s="1274"/>
    </row>
    <row r="16" spans="1:29" ht="30" customHeight="1">
      <c r="A16" s="580"/>
      <c r="B16" s="580"/>
      <c r="C16" s="1274"/>
      <c r="D16" s="1274"/>
      <c r="E16" s="580"/>
      <c r="F16" s="580"/>
      <c r="G16" s="1274"/>
      <c r="H16" s="1274"/>
      <c r="I16" s="1274"/>
      <c r="J16" s="1274"/>
      <c r="K16" s="1274"/>
      <c r="L16" s="1274"/>
      <c r="M16" s="1274"/>
      <c r="N16" s="1274"/>
      <c r="O16" s="1274"/>
      <c r="P16" s="1274"/>
      <c r="Q16" s="1274"/>
      <c r="R16" s="1274"/>
      <c r="S16" s="1274"/>
      <c r="T16" s="1274"/>
      <c r="U16" s="1274"/>
      <c r="V16" s="580"/>
      <c r="W16" s="580"/>
      <c r="X16" s="1274"/>
      <c r="Y16" s="1274"/>
      <c r="Z16" s="1274"/>
      <c r="AA16" s="1274"/>
      <c r="AB16" s="1274"/>
      <c r="AC16" s="1274"/>
    </row>
    <row r="17" spans="1:29" ht="30" customHeight="1">
      <c r="A17" s="580"/>
      <c r="B17" s="580"/>
      <c r="C17" s="1274"/>
      <c r="D17" s="1274"/>
      <c r="E17" s="580"/>
      <c r="F17" s="580"/>
      <c r="G17" s="1274"/>
      <c r="H17" s="1274"/>
      <c r="I17" s="1274"/>
      <c r="J17" s="1274"/>
      <c r="K17" s="1274"/>
      <c r="L17" s="1274"/>
      <c r="M17" s="1274"/>
      <c r="N17" s="1274"/>
      <c r="O17" s="1274"/>
      <c r="P17" s="1274"/>
      <c r="Q17" s="1274"/>
      <c r="R17" s="1274"/>
      <c r="S17" s="1274"/>
      <c r="T17" s="1274"/>
      <c r="U17" s="1274"/>
      <c r="V17" s="580"/>
      <c r="W17" s="580"/>
      <c r="X17" s="1274"/>
      <c r="Y17" s="1274"/>
      <c r="Z17" s="1274"/>
      <c r="AA17" s="1274"/>
      <c r="AB17" s="1274"/>
      <c r="AC17" s="1274"/>
    </row>
    <row r="18" spans="1:29" ht="30" customHeight="1">
      <c r="A18" s="580"/>
      <c r="B18" s="580"/>
      <c r="C18" s="1274"/>
      <c r="D18" s="1274"/>
      <c r="E18" s="580"/>
      <c r="F18" s="580"/>
      <c r="G18" s="1274"/>
      <c r="H18" s="1274"/>
      <c r="I18" s="1274"/>
      <c r="J18" s="1274"/>
      <c r="K18" s="1274"/>
      <c r="L18" s="1274"/>
      <c r="M18" s="1274"/>
      <c r="N18" s="1274"/>
      <c r="O18" s="1274"/>
      <c r="P18" s="1274"/>
      <c r="Q18" s="1274"/>
      <c r="R18" s="1274"/>
      <c r="S18" s="1274"/>
      <c r="T18" s="1274"/>
      <c r="U18" s="1274"/>
      <c r="V18" s="580"/>
      <c r="W18" s="580"/>
      <c r="X18" s="1274"/>
      <c r="Y18" s="1274"/>
      <c r="Z18" s="1274"/>
      <c r="AA18" s="1274"/>
      <c r="AB18" s="1274"/>
      <c r="AC18" s="1274"/>
    </row>
    <row r="19" spans="1:29" ht="30" customHeight="1">
      <c r="A19" s="580"/>
      <c r="B19" s="580"/>
      <c r="C19" s="1274"/>
      <c r="D19" s="1274"/>
      <c r="E19" s="580"/>
      <c r="F19" s="580"/>
      <c r="G19" s="1274"/>
      <c r="H19" s="1274"/>
      <c r="I19" s="1274"/>
      <c r="J19" s="1274"/>
      <c r="K19" s="1274"/>
      <c r="L19" s="1274"/>
      <c r="M19" s="1274"/>
      <c r="N19" s="1274"/>
      <c r="O19" s="1274"/>
      <c r="P19" s="1274"/>
      <c r="Q19" s="1274"/>
      <c r="R19" s="1274"/>
      <c r="S19" s="1274"/>
      <c r="T19" s="1274"/>
      <c r="U19" s="1274"/>
      <c r="V19" s="580"/>
      <c r="W19" s="580">
        <v>0</v>
      </c>
      <c r="X19" s="1274"/>
      <c r="Y19" s="1274"/>
      <c r="Z19" s="1274"/>
      <c r="AA19" s="1274"/>
      <c r="AB19" s="1274"/>
      <c r="AC19" s="1274"/>
    </row>
    <row r="20" spans="1:29" ht="30" customHeight="1">
      <c r="A20" s="580"/>
      <c r="B20" s="580"/>
      <c r="C20" s="1274"/>
      <c r="D20" s="1274"/>
      <c r="E20" s="580"/>
      <c r="F20" s="580"/>
      <c r="G20" s="1274"/>
      <c r="H20" s="1274"/>
      <c r="I20" s="1274"/>
      <c r="J20" s="1274"/>
      <c r="K20" s="1274"/>
      <c r="L20" s="1274"/>
      <c r="M20" s="1274"/>
      <c r="N20" s="1274"/>
      <c r="O20" s="1274"/>
      <c r="P20" s="1274"/>
      <c r="Q20" s="1274"/>
      <c r="R20" s="1274"/>
      <c r="S20" s="1274"/>
      <c r="T20" s="1274"/>
      <c r="U20" s="1274"/>
      <c r="V20" s="580"/>
      <c r="W20" s="580"/>
      <c r="X20" s="1274"/>
      <c r="Y20" s="1274"/>
      <c r="Z20" s="1274"/>
      <c r="AA20" s="1274"/>
      <c r="AB20" s="1274"/>
      <c r="AC20" s="1274"/>
    </row>
    <row r="21" spans="1:29">
      <c r="A21" s="1276" t="s">
        <v>465</v>
      </c>
      <c r="B21" s="1235"/>
      <c r="C21" s="1235"/>
      <c r="D21" s="1235"/>
      <c r="E21" s="1235"/>
      <c r="F21" s="1235"/>
      <c r="G21" s="1235"/>
      <c r="H21" s="1235"/>
      <c r="I21" s="1235"/>
      <c r="J21" s="1235"/>
      <c r="K21" s="1235"/>
      <c r="L21" s="1235"/>
      <c r="M21" s="1235"/>
      <c r="N21" s="1235"/>
      <c r="O21" s="1235"/>
      <c r="P21" s="1235"/>
      <c r="Q21" s="1235"/>
      <c r="R21" s="1235"/>
      <c r="S21" s="1235"/>
      <c r="T21" s="1235"/>
      <c r="U21" s="1235"/>
      <c r="V21" s="1235"/>
      <c r="W21" s="1235"/>
      <c r="X21" s="1235"/>
      <c r="Y21" s="1235"/>
      <c r="Z21" s="1235"/>
      <c r="AA21" s="1235"/>
      <c r="AB21" s="1235"/>
      <c r="AC21" s="1277"/>
    </row>
    <row r="22" spans="1:29">
      <c r="A22" s="1276"/>
      <c r="B22" s="1235"/>
      <c r="C22" s="1235"/>
      <c r="D22" s="1235"/>
      <c r="E22" s="1235"/>
      <c r="F22" s="1235"/>
      <c r="G22" s="1235"/>
      <c r="H22" s="1235"/>
      <c r="I22" s="1235"/>
      <c r="J22" s="1235"/>
      <c r="K22" s="1235"/>
      <c r="L22" s="1235"/>
      <c r="M22" s="1235"/>
      <c r="N22" s="1235"/>
      <c r="O22" s="1235"/>
      <c r="P22" s="1235"/>
      <c r="Q22" s="1235"/>
      <c r="R22" s="1235"/>
      <c r="S22" s="1235"/>
      <c r="T22" s="1235"/>
      <c r="U22" s="1235"/>
      <c r="V22" s="1235"/>
      <c r="W22" s="1235"/>
      <c r="X22" s="1235"/>
      <c r="Y22" s="1235"/>
      <c r="Z22" s="1235"/>
      <c r="AA22" s="1235"/>
      <c r="AB22" s="1235"/>
      <c r="AC22" s="1277"/>
    </row>
    <row r="23" spans="1:29">
      <c r="A23" s="1278"/>
      <c r="B23" s="1279"/>
      <c r="C23" s="1279"/>
      <c r="D23" s="1279"/>
      <c r="E23" s="1279"/>
      <c r="F23" s="1279"/>
      <c r="G23" s="1279"/>
      <c r="H23" s="1279"/>
      <c r="I23" s="1279"/>
      <c r="J23" s="1279"/>
      <c r="K23" s="1279"/>
      <c r="L23" s="1279"/>
      <c r="M23" s="1279"/>
      <c r="N23" s="1279"/>
      <c r="O23" s="1279"/>
      <c r="P23" s="1279"/>
      <c r="Q23" s="1279"/>
      <c r="R23" s="1279"/>
      <c r="S23" s="1279"/>
      <c r="T23" s="1279"/>
      <c r="U23" s="1279"/>
      <c r="V23" s="1279"/>
      <c r="W23" s="1279"/>
      <c r="X23" s="1279"/>
      <c r="Y23" s="1279"/>
      <c r="Z23" s="1279"/>
      <c r="AA23" s="1279"/>
      <c r="AB23" s="1279"/>
      <c r="AC23" s="1280"/>
    </row>
    <row r="24" spans="1:29" ht="18.75">
      <c r="A24" s="1283">
        <f>S6</f>
        <v>46106</v>
      </c>
      <c r="B24" s="1283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  <c r="AA24" s="567"/>
      <c r="AB24" s="567"/>
      <c r="AC24" s="567"/>
    </row>
    <row r="25" spans="1:29" ht="15.75">
      <c r="A25" s="568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69"/>
      <c r="P25" s="569"/>
      <c r="Q25" s="569"/>
      <c r="R25" s="569"/>
      <c r="S25" s="569"/>
      <c r="T25" s="569"/>
      <c r="U25" s="569"/>
      <c r="V25" s="569"/>
      <c r="W25" s="569"/>
      <c r="X25" s="569"/>
      <c r="Y25" s="569"/>
      <c r="Z25" s="569"/>
      <c r="AA25" s="569"/>
      <c r="AB25" s="569"/>
      <c r="AC25" s="569"/>
    </row>
    <row r="26" spans="1:29" ht="15.75">
      <c r="A26" s="570"/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69"/>
      <c r="AB26" s="569"/>
      <c r="AC26" s="569"/>
    </row>
    <row r="27" spans="1:29" ht="15">
      <c r="A27" s="571"/>
      <c r="B27" s="572"/>
      <c r="C27" s="572"/>
      <c r="D27" s="572"/>
      <c r="E27" s="572"/>
      <c r="F27" s="572"/>
      <c r="G27" s="572"/>
      <c r="H27" s="572"/>
      <c r="I27" s="572"/>
      <c r="J27" s="572"/>
      <c r="K27" s="572"/>
      <c r="L27" s="572"/>
      <c r="M27" s="572"/>
      <c r="N27" s="572"/>
      <c r="O27" s="572"/>
      <c r="P27" s="572"/>
      <c r="Q27" s="572"/>
      <c r="R27" s="572"/>
      <c r="S27" s="572"/>
      <c r="T27" s="572"/>
      <c r="U27" s="572"/>
      <c r="V27" s="572"/>
      <c r="W27" s="572"/>
      <c r="X27" s="572"/>
      <c r="Y27" s="572"/>
      <c r="Z27" s="572"/>
      <c r="AA27" s="572"/>
      <c r="AB27" s="572"/>
      <c r="AC27" s="572"/>
    </row>
    <row r="28" spans="1:29" ht="15">
      <c r="A28" s="573"/>
      <c r="B28" s="572"/>
      <c r="C28" s="572"/>
      <c r="D28" s="572"/>
      <c r="E28" s="572"/>
      <c r="F28" s="572"/>
      <c r="G28" s="572"/>
      <c r="H28" s="572"/>
      <c r="I28" s="572"/>
      <c r="J28" s="572"/>
      <c r="K28" s="572"/>
      <c r="L28" s="572"/>
      <c r="M28" s="572"/>
      <c r="N28" s="572"/>
      <c r="O28" s="572"/>
      <c r="P28" s="572"/>
      <c r="Q28" s="572"/>
      <c r="R28" s="572"/>
      <c r="S28" s="572"/>
      <c r="T28" s="572"/>
      <c r="U28" s="572"/>
      <c r="V28" s="572"/>
      <c r="W28" s="572"/>
      <c r="X28" s="572"/>
      <c r="Y28" s="572"/>
      <c r="Z28" s="572"/>
      <c r="AA28" s="572"/>
      <c r="AB28" s="572"/>
      <c r="AC28" s="572"/>
    </row>
    <row r="29" spans="1:29">
      <c r="A29" s="552"/>
      <c r="B29" s="552"/>
      <c r="C29" s="552"/>
      <c r="D29" s="552"/>
      <c r="E29" s="552"/>
      <c r="F29" s="552"/>
      <c r="G29" s="552"/>
      <c r="H29" s="552"/>
      <c r="I29" s="552"/>
      <c r="J29" s="552"/>
      <c r="K29" s="552"/>
      <c r="L29" s="552"/>
      <c r="M29" s="552"/>
      <c r="N29" s="552"/>
      <c r="O29" s="552"/>
      <c r="P29" s="552"/>
      <c r="Q29" s="552"/>
      <c r="R29" s="552"/>
      <c r="S29" s="574"/>
      <c r="T29" s="552"/>
      <c r="U29" s="552"/>
      <c r="V29" s="552"/>
      <c r="W29" s="552"/>
      <c r="X29" s="552"/>
      <c r="Y29" s="552"/>
      <c r="Z29" s="552"/>
      <c r="AA29" s="552"/>
      <c r="AB29" s="552"/>
      <c r="AC29" s="552"/>
    </row>
    <row r="30" spans="1:29">
      <c r="A30" s="552"/>
      <c r="B30" s="552"/>
      <c r="C30" s="552"/>
      <c r="D30" s="552"/>
      <c r="E30" s="552"/>
      <c r="F30" s="552"/>
      <c r="G30" s="552"/>
      <c r="H30" s="552"/>
      <c r="I30" s="552"/>
      <c r="J30" s="552"/>
      <c r="K30" s="552"/>
      <c r="L30" s="552"/>
      <c r="M30" s="552"/>
      <c r="N30" s="552"/>
      <c r="O30" s="552"/>
      <c r="P30" s="552"/>
      <c r="Q30" s="552"/>
      <c r="R30" s="552"/>
      <c r="S30" s="552"/>
      <c r="T30" s="552"/>
      <c r="U30" s="552"/>
      <c r="V30" s="552"/>
      <c r="W30" s="552"/>
      <c r="X30" s="552"/>
      <c r="Y30" s="552"/>
      <c r="Z30" s="552"/>
      <c r="AA30" s="552"/>
      <c r="AB30" s="552"/>
      <c r="AC30" s="552"/>
    </row>
    <row r="31" spans="1:29">
      <c r="A31" s="552"/>
      <c r="B31" s="552"/>
      <c r="C31" s="552"/>
      <c r="D31" s="552"/>
      <c r="E31" s="552"/>
      <c r="F31" s="552"/>
      <c r="G31" s="552"/>
      <c r="H31" s="552"/>
      <c r="I31" s="552"/>
      <c r="J31" s="552"/>
      <c r="K31" s="552"/>
      <c r="L31" s="575"/>
      <c r="M31" s="575"/>
      <c r="N31" s="575"/>
      <c r="O31" s="575"/>
      <c r="P31" s="575"/>
      <c r="Q31" s="575"/>
      <c r="R31" s="575"/>
      <c r="S31" s="575"/>
      <c r="T31" s="552"/>
      <c r="U31" s="552"/>
      <c r="V31" s="552"/>
      <c r="W31" s="552"/>
      <c r="X31" s="552"/>
      <c r="Y31" s="552"/>
      <c r="Z31" s="552"/>
      <c r="AA31" s="552"/>
      <c r="AB31" s="552"/>
      <c r="AC31" s="552"/>
    </row>
    <row r="32" spans="1:29" ht="15.75">
      <c r="A32" s="552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75"/>
      <c r="M32" s="575"/>
      <c r="N32" s="575"/>
      <c r="O32" s="575"/>
      <c r="P32" s="575"/>
      <c r="Q32" s="575"/>
      <c r="R32" s="575"/>
      <c r="S32" s="575"/>
      <c r="T32" s="1284" t="str">
        <f>M.Menu!S15</f>
        <v>CAPT. WENDT ROBERT</v>
      </c>
      <c r="U32" s="1285"/>
      <c r="V32" s="1285"/>
      <c r="W32" s="1285"/>
      <c r="X32" s="1285"/>
      <c r="Y32" s="575"/>
      <c r="Z32" s="552"/>
      <c r="AA32" s="552"/>
      <c r="AB32" s="552"/>
      <c r="AC32" s="552"/>
    </row>
    <row r="33" spans="1:29" ht="19.5" customHeight="1">
      <c r="A33" s="552"/>
      <c r="B33" s="552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2"/>
      <c r="P33" s="552"/>
      <c r="Q33" s="552"/>
      <c r="R33" s="552"/>
      <c r="S33" s="552"/>
      <c r="T33" s="552"/>
      <c r="U33" s="552"/>
      <c r="V33" s="1281" t="s">
        <v>156</v>
      </c>
      <c r="W33" s="1281"/>
      <c r="X33" s="576"/>
      <c r="Y33" s="552"/>
      <c r="Z33" s="552"/>
      <c r="AA33" s="552"/>
      <c r="AB33" s="552"/>
      <c r="AC33" s="552"/>
    </row>
    <row r="34" spans="1:29" ht="20.25">
      <c r="A34" s="552"/>
      <c r="B34" s="552"/>
      <c r="C34" s="552"/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552"/>
      <c r="P34" s="552"/>
      <c r="Q34" s="552"/>
      <c r="R34" s="552"/>
      <c r="S34" s="552"/>
      <c r="T34" s="552"/>
      <c r="U34" s="552"/>
      <c r="V34" s="1282"/>
      <c r="W34" s="1282"/>
      <c r="X34" s="577"/>
      <c r="Y34" s="552"/>
      <c r="Z34" s="552"/>
      <c r="AA34" s="552"/>
      <c r="AB34" s="552"/>
      <c r="AC34" s="552"/>
    </row>
    <row r="35" spans="1:29">
      <c r="A35" s="552"/>
      <c r="B35" s="552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52"/>
      <c r="O35" s="552"/>
      <c r="P35" s="552"/>
      <c r="Q35" s="552"/>
      <c r="R35" s="552"/>
      <c r="S35" s="552"/>
      <c r="T35" s="552"/>
      <c r="U35" s="552"/>
      <c r="V35" s="552"/>
      <c r="W35" s="552"/>
      <c r="X35" s="552"/>
      <c r="Y35" s="552"/>
      <c r="Z35" s="552"/>
      <c r="AA35" s="552"/>
      <c r="AB35" s="552"/>
      <c r="AC35" s="552"/>
    </row>
    <row r="54" ht="6" customHeight="1"/>
  </sheetData>
  <sheetProtection formatColumns="0" insertRows="0" deleteRows="0" selectLockedCells="1"/>
  <mergeCells count="131">
    <mergeCell ref="A21:AC23"/>
    <mergeCell ref="V33:W33"/>
    <mergeCell ref="V34:W34"/>
    <mergeCell ref="A24:B24"/>
    <mergeCell ref="T32:X32"/>
    <mergeCell ref="X19:Z19"/>
    <mergeCell ref="AA19:AC19"/>
    <mergeCell ref="C20:D20"/>
    <mergeCell ref="G20:H20"/>
    <mergeCell ref="I20:K20"/>
    <mergeCell ref="L20:M20"/>
    <mergeCell ref="N20:R20"/>
    <mergeCell ref="S20:U20"/>
    <mergeCell ref="X20:Z20"/>
    <mergeCell ref="AA20:AC20"/>
    <mergeCell ref="C19:D19"/>
    <mergeCell ref="G19:H19"/>
    <mergeCell ref="I19:K19"/>
    <mergeCell ref="L19:M19"/>
    <mergeCell ref="N19:R19"/>
    <mergeCell ref="S19:U19"/>
    <mergeCell ref="X17:Z17"/>
    <mergeCell ref="AA17:AC17"/>
    <mergeCell ref="C18:D18"/>
    <mergeCell ref="G18:H18"/>
    <mergeCell ref="I18:K18"/>
    <mergeCell ref="L18:M18"/>
    <mergeCell ref="N18:R18"/>
    <mergeCell ref="S18:U18"/>
    <mergeCell ref="X18:Z18"/>
    <mergeCell ref="AA18:AC18"/>
    <mergeCell ref="C17:D17"/>
    <mergeCell ref="G17:H17"/>
    <mergeCell ref="I17:K17"/>
    <mergeCell ref="L17:M17"/>
    <mergeCell ref="N17:R17"/>
    <mergeCell ref="S17:U17"/>
    <mergeCell ref="X15:Z15"/>
    <mergeCell ref="AA15:AC15"/>
    <mergeCell ref="C16:D16"/>
    <mergeCell ref="G16:H16"/>
    <mergeCell ref="I16:K16"/>
    <mergeCell ref="L16:M16"/>
    <mergeCell ref="N16:R16"/>
    <mergeCell ref="S16:U16"/>
    <mergeCell ref="X16:Z16"/>
    <mergeCell ref="AA16:AC16"/>
    <mergeCell ref="C15:D15"/>
    <mergeCell ref="G15:H15"/>
    <mergeCell ref="I15:K15"/>
    <mergeCell ref="L15:M15"/>
    <mergeCell ref="N15:R15"/>
    <mergeCell ref="S15:U15"/>
    <mergeCell ref="X13:Z13"/>
    <mergeCell ref="AA13:AC13"/>
    <mergeCell ref="C14:D14"/>
    <mergeCell ref="G14:H14"/>
    <mergeCell ref="I14:K14"/>
    <mergeCell ref="L14:M14"/>
    <mergeCell ref="N14:R14"/>
    <mergeCell ref="S14:U14"/>
    <mergeCell ref="X14:Z14"/>
    <mergeCell ref="AA14:AC14"/>
    <mergeCell ref="C13:D13"/>
    <mergeCell ref="G13:H13"/>
    <mergeCell ref="I13:K13"/>
    <mergeCell ref="L13:M13"/>
    <mergeCell ref="N13:R13"/>
    <mergeCell ref="S13:U13"/>
    <mergeCell ref="X11:Z11"/>
    <mergeCell ref="AA11:AC11"/>
    <mergeCell ref="C12:D12"/>
    <mergeCell ref="G12:H12"/>
    <mergeCell ref="I12:K12"/>
    <mergeCell ref="L12:M12"/>
    <mergeCell ref="N12:R12"/>
    <mergeCell ref="S12:U12"/>
    <mergeCell ref="X12:Z12"/>
    <mergeCell ref="AA12:AC12"/>
    <mergeCell ref="C11:D11"/>
    <mergeCell ref="G11:H11"/>
    <mergeCell ref="I11:K11"/>
    <mergeCell ref="L11:M11"/>
    <mergeCell ref="N11:R11"/>
    <mergeCell ref="S11:U11"/>
    <mergeCell ref="C10:D10"/>
    <mergeCell ref="G10:H10"/>
    <mergeCell ref="I10:K10"/>
    <mergeCell ref="L10:M10"/>
    <mergeCell ref="N10:R10"/>
    <mergeCell ref="S10:U10"/>
    <mergeCell ref="X10:Z10"/>
    <mergeCell ref="AA10:AC10"/>
    <mergeCell ref="C9:D9"/>
    <mergeCell ref="G9:H9"/>
    <mergeCell ref="I9:K9"/>
    <mergeCell ref="L9:M9"/>
    <mergeCell ref="N9:R9"/>
    <mergeCell ref="S9:U9"/>
    <mergeCell ref="C8:D8"/>
    <mergeCell ref="G8:H8"/>
    <mergeCell ref="I8:K8"/>
    <mergeCell ref="L8:M8"/>
    <mergeCell ref="N8:R8"/>
    <mergeCell ref="S8:U8"/>
    <mergeCell ref="X8:Z8"/>
    <mergeCell ref="AA8:AC8"/>
    <mergeCell ref="X9:Z9"/>
    <mergeCell ref="AA9:AC9"/>
    <mergeCell ref="Z3:AA3"/>
    <mergeCell ref="A4:B5"/>
    <mergeCell ref="C4:G5"/>
    <mergeCell ref="H4:J5"/>
    <mergeCell ref="L4:S5"/>
    <mergeCell ref="U4:W5"/>
    <mergeCell ref="X4:AB5"/>
    <mergeCell ref="T6:W7"/>
    <mergeCell ref="X6:AB7"/>
    <mergeCell ref="F1:V1"/>
    <mergeCell ref="F2:V2"/>
    <mergeCell ref="A3:I3"/>
    <mergeCell ref="K3:L3"/>
    <mergeCell ref="M3:N3"/>
    <mergeCell ref="P3:S3"/>
    <mergeCell ref="U3:W3"/>
    <mergeCell ref="A6:B7"/>
    <mergeCell ref="C6:D7"/>
    <mergeCell ref="E6:G7"/>
    <mergeCell ref="H6:J7"/>
    <mergeCell ref="K6:Q7"/>
    <mergeCell ref="S6:S7"/>
  </mergeCells>
  <printOptions horizontalCentered="1" verticalCentered="1"/>
  <pageMargins left="0.196527777777778" right="0.196527777777778" top="0.39374999999999999" bottom="0.98402777777777795" header="0.51180555555555496" footer="0.51180555555555496"/>
  <pageSetup paperSize="9" scale="65" firstPageNumber="0" pageOrder="overThenDown" orientation="landscape" r:id="rId1"/>
  <rowBreaks count="1" manualBreakCount="1">
    <brk id="34" max="2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00000"/>
    <pageSetUpPr fitToPage="1"/>
  </sheetPr>
  <dimension ref="B1:N744"/>
  <sheetViews>
    <sheetView showGridLines="0" showZeros="0" view="pageBreakPreview" zoomScale="70" zoomScaleNormal="100" zoomScaleSheetLayoutView="70" workbookViewId="0">
      <pane xSplit="11" ySplit="9" topLeftCell="L10" activePane="bottomRight" state="frozen"/>
      <selection pane="topRight" activeCell="J1" sqref="J1"/>
      <selection pane="bottomLeft" activeCell="A11" sqref="A11"/>
      <selection pane="bottomRight" activeCell="M53" sqref="M53"/>
    </sheetView>
  </sheetViews>
  <sheetFormatPr defaultColWidth="11.42578125" defaultRowHeight="14.25"/>
  <cols>
    <col min="1" max="1" width="4.5703125" style="316" customWidth="1"/>
    <col min="2" max="2" width="6.140625" style="392" customWidth="1"/>
    <col min="3" max="4" width="20" style="346" customWidth="1"/>
    <col min="5" max="5" width="14.28515625" style="393" customWidth="1"/>
    <col min="6" max="6" width="14.28515625" style="394" customWidth="1"/>
    <col min="7" max="7" width="10.42578125" style="395" customWidth="1"/>
    <col min="8" max="8" width="10.42578125" style="396" customWidth="1"/>
    <col min="9" max="9" width="14.28515625" style="396" customWidth="1"/>
    <col min="10" max="10" width="41.42578125" style="397" customWidth="1"/>
    <col min="11" max="11" width="13" style="397" customWidth="1"/>
    <col min="12" max="16384" width="11.42578125" style="316"/>
  </cols>
  <sheetData>
    <row r="1" spans="2:14" ht="27.75" customHeight="1">
      <c r="B1" s="311"/>
      <c r="C1" s="312"/>
      <c r="D1" s="312"/>
      <c r="E1" s="313"/>
      <c r="F1" s="314"/>
      <c r="G1" s="314"/>
      <c r="H1" s="315"/>
      <c r="I1" s="315"/>
      <c r="J1" s="312"/>
      <c r="K1" s="312"/>
    </row>
    <row r="2" spans="2:14" ht="40.5" customHeight="1">
      <c r="B2" s="1288" t="s">
        <v>383</v>
      </c>
      <c r="C2" s="1288"/>
      <c r="D2" s="1288"/>
      <c r="E2" s="1289"/>
      <c r="F2" s="1289"/>
      <c r="G2" s="1289"/>
      <c r="H2" s="1289"/>
      <c r="I2" s="1289"/>
      <c r="J2" s="1289"/>
      <c r="K2" s="1289"/>
    </row>
    <row r="3" spans="2:14" ht="18.75" customHeight="1">
      <c r="B3" s="317"/>
      <c r="C3" s="318"/>
      <c r="D3" s="318"/>
      <c r="E3" s="319"/>
      <c r="F3" s="320"/>
      <c r="G3" s="321"/>
      <c r="H3" s="322"/>
      <c r="I3" s="322"/>
      <c r="J3" s="323"/>
      <c r="K3" s="323"/>
    </row>
    <row r="4" spans="2:14" s="535" customFormat="1" ht="18.75" customHeight="1">
      <c r="B4" s="1293" t="s">
        <v>93</v>
      </c>
      <c r="C4" s="1294"/>
      <c r="D4" s="1294"/>
      <c r="E4" s="1294"/>
      <c r="F4" s="1299" t="s">
        <v>163</v>
      </c>
      <c r="G4" s="1299"/>
      <c r="H4" s="1299"/>
      <c r="I4" s="1299"/>
      <c r="J4" s="1290" t="s">
        <v>95</v>
      </c>
      <c r="K4" s="1290"/>
    </row>
    <row r="5" spans="2:14" s="324" customFormat="1" ht="18.75" customHeight="1">
      <c r="B5" s="1295" t="str">
        <f>M.Menu!E5&amp;" "&amp;M.Menu!E3</f>
        <v>LNG/C Energy Endurance</v>
      </c>
      <c r="C5" s="1296"/>
      <c r="D5" s="1296"/>
      <c r="E5" s="1296"/>
      <c r="F5" s="1300">
        <f>M.Menu!L3</f>
        <v>9948695</v>
      </c>
      <c r="G5" s="1300"/>
      <c r="H5" s="1300"/>
      <c r="I5" s="1300"/>
      <c r="J5" s="1291" t="str">
        <f>M.Menu!L11&amp;", "&amp;M.Menu!L12</f>
        <v>Sabine Pass, U.S.A.</v>
      </c>
      <c r="K5" s="1291"/>
    </row>
    <row r="6" spans="2:14" s="535" customFormat="1" ht="18.75" customHeight="1">
      <c r="B6" s="1293" t="s">
        <v>49</v>
      </c>
      <c r="C6" s="1294"/>
      <c r="D6" s="1294"/>
      <c r="E6" s="1294"/>
      <c r="F6" s="1301" t="s">
        <v>132</v>
      </c>
      <c r="G6" s="1301"/>
      <c r="H6" s="1301"/>
      <c r="I6" s="1301"/>
      <c r="J6" s="1290" t="s">
        <v>472</v>
      </c>
      <c r="K6" s="1290"/>
    </row>
    <row r="7" spans="2:14" s="324" customFormat="1" ht="18.75" customHeight="1">
      <c r="B7" s="1297" t="str">
        <f>M.Menu!L8</f>
        <v>Marshall Islands</v>
      </c>
      <c r="C7" s="1298"/>
      <c r="D7" s="1298"/>
      <c r="E7" s="1298"/>
      <c r="F7" s="1302" t="str">
        <f>M.Menu!E4</f>
        <v>V7A7282</v>
      </c>
      <c r="G7" s="1302"/>
      <c r="H7" s="1302"/>
      <c r="I7" s="1302"/>
      <c r="J7" s="1292" t="str">
        <f>GALVESTON&amp;", "&amp;M.Menu!E12</f>
        <v>BARCARENA, BRAZIL</v>
      </c>
      <c r="K7" s="1292"/>
    </row>
    <row r="8" spans="2:14" ht="18.75" customHeight="1">
      <c r="B8" s="325"/>
      <c r="C8" s="326"/>
      <c r="D8" s="895"/>
      <c r="E8" s="325"/>
      <c r="F8" s="327"/>
      <c r="G8" s="328"/>
      <c r="H8" s="329"/>
      <c r="I8" s="898"/>
      <c r="J8" s="330"/>
      <c r="K8" s="330"/>
    </row>
    <row r="9" spans="2:14" s="535" customFormat="1" ht="66" customHeight="1">
      <c r="B9" s="904" t="s">
        <v>44</v>
      </c>
      <c r="C9" s="905" t="s">
        <v>571</v>
      </c>
      <c r="D9" s="904" t="s">
        <v>570</v>
      </c>
      <c r="E9" s="906" t="s">
        <v>424</v>
      </c>
      <c r="F9" s="906" t="s">
        <v>425</v>
      </c>
      <c r="G9" s="907" t="s">
        <v>659</v>
      </c>
      <c r="H9" s="900" t="s">
        <v>660</v>
      </c>
      <c r="I9" s="901" t="s">
        <v>661</v>
      </c>
      <c r="J9" s="900" t="s">
        <v>426</v>
      </c>
      <c r="K9" s="900" t="s">
        <v>59</v>
      </c>
      <c r="L9" s="1286"/>
      <c r="M9" s="1287"/>
      <c r="N9" s="1287"/>
    </row>
    <row r="10" spans="2:14" s="1020" customFormat="1" ht="31.5" customHeight="1">
      <c r="B10" s="997">
        <v>1</v>
      </c>
      <c r="C10" s="997" t="s">
        <v>943</v>
      </c>
      <c r="D10" s="998" t="s">
        <v>944</v>
      </c>
      <c r="E10" s="996">
        <v>46079</v>
      </c>
      <c r="F10" s="996">
        <v>46084</v>
      </c>
      <c r="G10" s="997">
        <v>1</v>
      </c>
      <c r="H10" s="997">
        <v>1</v>
      </c>
      <c r="I10" s="899" t="s">
        <v>662</v>
      </c>
      <c r="J10" s="976" t="s">
        <v>595</v>
      </c>
      <c r="K10" s="424" t="s">
        <v>994</v>
      </c>
      <c r="L10" s="311"/>
    </row>
    <row r="11" spans="2:14" s="1016" customFormat="1" ht="31.5" customHeight="1">
      <c r="B11" s="997">
        <v>2</v>
      </c>
      <c r="C11" s="997" t="s">
        <v>625</v>
      </c>
      <c r="D11" s="998" t="s">
        <v>621</v>
      </c>
      <c r="E11" s="996">
        <v>46063</v>
      </c>
      <c r="F11" s="996">
        <v>46065</v>
      </c>
      <c r="G11" s="997">
        <v>1</v>
      </c>
      <c r="H11" s="997">
        <v>1</v>
      </c>
      <c r="I11" s="899" t="s">
        <v>662</v>
      </c>
      <c r="J11" s="976" t="s">
        <v>35</v>
      </c>
      <c r="K11" s="424" t="s">
        <v>577</v>
      </c>
      <c r="L11" s="311"/>
    </row>
    <row r="12" spans="2:14" s="1015" customFormat="1" ht="31.5" customHeight="1">
      <c r="B12" s="997">
        <v>3</v>
      </c>
      <c r="C12" s="997" t="s">
        <v>946</v>
      </c>
      <c r="D12" s="998" t="s">
        <v>927</v>
      </c>
      <c r="E12" s="996">
        <v>46053</v>
      </c>
      <c r="F12" s="996">
        <v>46056</v>
      </c>
      <c r="G12" s="997">
        <v>1</v>
      </c>
      <c r="H12" s="997">
        <v>1</v>
      </c>
      <c r="I12" s="899" t="s">
        <v>662</v>
      </c>
      <c r="J12" s="976" t="s">
        <v>947</v>
      </c>
      <c r="K12" s="424" t="s">
        <v>948</v>
      </c>
      <c r="L12" s="311"/>
    </row>
    <row r="13" spans="2:14" s="1014" customFormat="1" ht="31.5" customHeight="1">
      <c r="B13" s="997">
        <v>4</v>
      </c>
      <c r="C13" s="997" t="s">
        <v>628</v>
      </c>
      <c r="D13" s="998" t="s">
        <v>629</v>
      </c>
      <c r="E13" s="996">
        <v>46049</v>
      </c>
      <c r="F13" s="996">
        <v>46049</v>
      </c>
      <c r="G13" s="997">
        <v>1</v>
      </c>
      <c r="H13" s="997" t="s">
        <v>115</v>
      </c>
      <c r="I13" s="899" t="s">
        <v>662</v>
      </c>
      <c r="J13" s="976" t="s">
        <v>817</v>
      </c>
      <c r="K13" s="424" t="s">
        <v>579</v>
      </c>
      <c r="L13" s="311"/>
    </row>
    <row r="14" spans="2:14" s="1010" customFormat="1" ht="31.5" customHeight="1">
      <c r="B14" s="997">
        <v>5</v>
      </c>
      <c r="C14" s="997" t="s">
        <v>628</v>
      </c>
      <c r="D14" s="998" t="s">
        <v>629</v>
      </c>
      <c r="E14" s="996">
        <v>46035</v>
      </c>
      <c r="F14" s="996">
        <v>46035</v>
      </c>
      <c r="G14" s="997">
        <v>1</v>
      </c>
      <c r="H14" s="997" t="s">
        <v>115</v>
      </c>
      <c r="I14" s="899" t="s">
        <v>662</v>
      </c>
      <c r="J14" s="976" t="s">
        <v>817</v>
      </c>
      <c r="K14" s="424" t="s">
        <v>579</v>
      </c>
      <c r="L14" s="311"/>
    </row>
    <row r="15" spans="2:14" s="1012" customFormat="1" ht="31.5" customHeight="1">
      <c r="B15" s="997">
        <v>6</v>
      </c>
      <c r="C15" s="997" t="s">
        <v>625</v>
      </c>
      <c r="D15" s="998" t="s">
        <v>621</v>
      </c>
      <c r="E15" s="996">
        <v>46024</v>
      </c>
      <c r="F15" s="996">
        <v>46031</v>
      </c>
      <c r="G15" s="997">
        <v>1</v>
      </c>
      <c r="H15" s="997">
        <v>1</v>
      </c>
      <c r="I15" s="899" t="s">
        <v>662</v>
      </c>
      <c r="J15" s="976" t="s">
        <v>35</v>
      </c>
      <c r="K15" s="424" t="s">
        <v>577</v>
      </c>
      <c r="L15" s="311"/>
    </row>
    <row r="16" spans="2:14" s="1005" customFormat="1" ht="31.5" customHeight="1">
      <c r="B16" s="997">
        <v>7</v>
      </c>
      <c r="C16" s="997" t="s">
        <v>844</v>
      </c>
      <c r="D16" s="903" t="s">
        <v>843</v>
      </c>
      <c r="E16" s="996">
        <v>46010</v>
      </c>
      <c r="F16" s="996">
        <v>46010</v>
      </c>
      <c r="G16" s="997">
        <v>1</v>
      </c>
      <c r="H16" s="896" t="s">
        <v>115</v>
      </c>
      <c r="I16" s="899" t="s">
        <v>662</v>
      </c>
      <c r="J16" s="997" t="s">
        <v>616</v>
      </c>
      <c r="K16" s="424" t="s">
        <v>864</v>
      </c>
      <c r="L16" s="311"/>
    </row>
    <row r="17" spans="2:12" s="1004" customFormat="1" ht="28.5">
      <c r="B17" s="997">
        <v>8</v>
      </c>
      <c r="C17" s="997" t="s">
        <v>815</v>
      </c>
      <c r="D17" s="998" t="s">
        <v>816</v>
      </c>
      <c r="E17" s="422">
        <v>45998</v>
      </c>
      <c r="F17" s="996">
        <v>46005</v>
      </c>
      <c r="G17" s="421" t="s">
        <v>774</v>
      </c>
      <c r="H17" s="896" t="s">
        <v>774</v>
      </c>
      <c r="I17" s="899" t="s">
        <v>662</v>
      </c>
      <c r="J17" s="422" t="s">
        <v>845</v>
      </c>
      <c r="K17" s="424" t="s">
        <v>846</v>
      </c>
      <c r="L17" s="311"/>
    </row>
    <row r="18" spans="2:12" s="1002" customFormat="1" ht="34.5" customHeight="1">
      <c r="B18" s="997">
        <v>9</v>
      </c>
      <c r="C18" s="997" t="s">
        <v>628</v>
      </c>
      <c r="D18" s="998" t="s">
        <v>629</v>
      </c>
      <c r="E18" s="422">
        <v>45984</v>
      </c>
      <c r="F18" s="996">
        <v>45984</v>
      </c>
      <c r="G18" s="421">
        <v>1</v>
      </c>
      <c r="H18" s="896" t="s">
        <v>115</v>
      </c>
      <c r="I18" s="899" t="s">
        <v>662</v>
      </c>
      <c r="J18" s="422" t="s">
        <v>817</v>
      </c>
      <c r="K18" s="424" t="s">
        <v>579</v>
      </c>
      <c r="L18" s="311"/>
    </row>
    <row r="19" spans="2:12" s="1001" customFormat="1" ht="28.5">
      <c r="B19" s="997">
        <v>10</v>
      </c>
      <c r="C19" s="997" t="s">
        <v>634</v>
      </c>
      <c r="D19" s="998" t="s">
        <v>772</v>
      </c>
      <c r="E19" s="422">
        <v>45980</v>
      </c>
      <c r="F19" s="996">
        <v>45981</v>
      </c>
      <c r="G19" s="421">
        <v>1</v>
      </c>
      <c r="H19" s="896" t="s">
        <v>774</v>
      </c>
      <c r="I19" s="899" t="s">
        <v>662</v>
      </c>
      <c r="J19" s="422" t="s">
        <v>806</v>
      </c>
      <c r="K19" s="1000" t="s">
        <v>583</v>
      </c>
      <c r="L19" s="311"/>
    </row>
    <row r="20" spans="2:12" s="995" customFormat="1" ht="33" customHeight="1">
      <c r="B20" s="997">
        <v>11</v>
      </c>
      <c r="C20" s="997" t="s">
        <v>773</v>
      </c>
      <c r="D20" s="998" t="s">
        <v>627</v>
      </c>
      <c r="E20" s="422">
        <v>45954</v>
      </c>
      <c r="F20" s="996">
        <v>45957</v>
      </c>
      <c r="G20" s="421">
        <v>1</v>
      </c>
      <c r="H20" s="896" t="s">
        <v>774</v>
      </c>
      <c r="I20" s="899" t="s">
        <v>662</v>
      </c>
      <c r="J20" s="422" t="s">
        <v>775</v>
      </c>
      <c r="K20" s="1000" t="s">
        <v>776</v>
      </c>
      <c r="L20" s="311"/>
    </row>
    <row r="21" spans="2:12" s="535" customFormat="1" ht="39.75" customHeight="1">
      <c r="B21" s="997">
        <v>12</v>
      </c>
      <c r="C21" s="896" t="s">
        <v>625</v>
      </c>
      <c r="D21" s="903" t="s">
        <v>621</v>
      </c>
      <c r="E21" s="422">
        <v>45922</v>
      </c>
      <c r="F21" s="423">
        <v>45927</v>
      </c>
      <c r="G21" s="421">
        <v>1</v>
      </c>
      <c r="H21" s="424">
        <v>1</v>
      </c>
      <c r="I21" s="899" t="s">
        <v>662</v>
      </c>
      <c r="J21" s="976" t="s">
        <v>35</v>
      </c>
      <c r="K21" s="424" t="s">
        <v>577</v>
      </c>
      <c r="L21" s="311"/>
    </row>
    <row r="22" spans="2:12" s="535" customFormat="1" ht="39.75" customHeight="1">
      <c r="B22" s="997">
        <v>13</v>
      </c>
      <c r="C22" s="896" t="s">
        <v>618</v>
      </c>
      <c r="D22" s="903" t="s">
        <v>619</v>
      </c>
      <c r="E22" s="422">
        <v>45898</v>
      </c>
      <c r="F22" s="423">
        <v>45906</v>
      </c>
      <c r="G22" s="421">
        <v>1</v>
      </c>
      <c r="H22" s="424">
        <v>1</v>
      </c>
      <c r="I22" s="899" t="s">
        <v>662</v>
      </c>
      <c r="J22" s="424" t="s">
        <v>720</v>
      </c>
      <c r="K22" s="424" t="s">
        <v>572</v>
      </c>
      <c r="L22" s="311"/>
    </row>
    <row r="23" spans="2:12" s="535" customFormat="1" ht="39.75" customHeight="1">
      <c r="B23" s="997">
        <v>14</v>
      </c>
      <c r="C23" s="896" t="s">
        <v>620</v>
      </c>
      <c r="D23" s="903" t="s">
        <v>621</v>
      </c>
      <c r="E23" s="422">
        <v>45889</v>
      </c>
      <c r="F23" s="423">
        <v>45892</v>
      </c>
      <c r="G23" s="421">
        <v>1</v>
      </c>
      <c r="H23" s="424">
        <v>1</v>
      </c>
      <c r="I23" s="899" t="s">
        <v>662</v>
      </c>
      <c r="J23" s="424" t="s">
        <v>36</v>
      </c>
      <c r="K23" s="424" t="s">
        <v>573</v>
      </c>
      <c r="L23" s="311"/>
    </row>
    <row r="24" spans="2:12" s="535" customFormat="1" ht="39.75" customHeight="1">
      <c r="B24" s="997">
        <v>15</v>
      </c>
      <c r="C24" s="896" t="s">
        <v>618</v>
      </c>
      <c r="D24" s="903" t="s">
        <v>619</v>
      </c>
      <c r="E24" s="422">
        <v>45883</v>
      </c>
      <c r="F24" s="423">
        <v>45883</v>
      </c>
      <c r="G24" s="421">
        <v>1</v>
      </c>
      <c r="H24" s="424">
        <v>1</v>
      </c>
      <c r="I24" s="899" t="s">
        <v>662</v>
      </c>
      <c r="J24" s="424" t="s">
        <v>718</v>
      </c>
      <c r="K24" s="424" t="s">
        <v>572</v>
      </c>
      <c r="L24" s="311"/>
    </row>
    <row r="25" spans="2:12" s="535" customFormat="1" ht="39.75" customHeight="1">
      <c r="B25" s="997">
        <v>16</v>
      </c>
      <c r="C25" s="896" t="s">
        <v>622</v>
      </c>
      <c r="D25" s="903" t="s">
        <v>619</v>
      </c>
      <c r="E25" s="422">
        <v>45882</v>
      </c>
      <c r="F25" s="423">
        <v>45883</v>
      </c>
      <c r="G25" s="421">
        <v>1</v>
      </c>
      <c r="H25" s="424">
        <v>1</v>
      </c>
      <c r="I25" s="899" t="s">
        <v>662</v>
      </c>
      <c r="J25" s="424" t="s">
        <v>716</v>
      </c>
      <c r="K25" s="424" t="s">
        <v>574</v>
      </c>
      <c r="L25" s="311"/>
    </row>
    <row r="26" spans="2:12" s="535" customFormat="1" ht="39.75" customHeight="1">
      <c r="B26" s="997">
        <v>17</v>
      </c>
      <c r="C26" s="896" t="s">
        <v>623</v>
      </c>
      <c r="D26" s="903" t="s">
        <v>482</v>
      </c>
      <c r="E26" s="422">
        <v>45876</v>
      </c>
      <c r="F26" s="423">
        <v>45877</v>
      </c>
      <c r="G26" s="421">
        <v>1</v>
      </c>
      <c r="H26" s="424">
        <v>1</v>
      </c>
      <c r="I26" s="899" t="s">
        <v>662</v>
      </c>
      <c r="J26" s="424" t="s">
        <v>35</v>
      </c>
      <c r="K26" s="424" t="s">
        <v>575</v>
      </c>
      <c r="L26" s="311"/>
    </row>
    <row r="27" spans="2:12" s="535" customFormat="1" ht="39.75" customHeight="1">
      <c r="B27" s="997">
        <v>18</v>
      </c>
      <c r="C27" s="896" t="s">
        <v>624</v>
      </c>
      <c r="D27" s="903" t="s">
        <v>482</v>
      </c>
      <c r="E27" s="422">
        <v>45865</v>
      </c>
      <c r="F27" s="423">
        <v>45867</v>
      </c>
      <c r="G27" s="421">
        <v>1</v>
      </c>
      <c r="H27" s="424">
        <v>1</v>
      </c>
      <c r="I27" s="899" t="s">
        <v>662</v>
      </c>
      <c r="J27" s="424" t="s">
        <v>717</v>
      </c>
      <c r="K27" s="424" t="s">
        <v>576</v>
      </c>
      <c r="L27" s="311"/>
    </row>
    <row r="28" spans="2:12" s="535" customFormat="1" ht="39.75" customHeight="1">
      <c r="B28" s="997">
        <v>19</v>
      </c>
      <c r="C28" s="896" t="s">
        <v>625</v>
      </c>
      <c r="D28" s="903" t="s">
        <v>621</v>
      </c>
      <c r="E28" s="422">
        <v>45856</v>
      </c>
      <c r="F28" s="423">
        <v>45859</v>
      </c>
      <c r="G28" s="421">
        <v>1</v>
      </c>
      <c r="H28" s="424">
        <v>1</v>
      </c>
      <c r="I28" s="899" t="s">
        <v>662</v>
      </c>
      <c r="J28" s="424" t="s">
        <v>35</v>
      </c>
      <c r="K28" s="424" t="s">
        <v>577</v>
      </c>
      <c r="L28" s="311"/>
    </row>
    <row r="29" spans="2:12" s="535" customFormat="1" ht="39.75" customHeight="1">
      <c r="B29" s="997">
        <v>20</v>
      </c>
      <c r="C29" s="896" t="s">
        <v>626</v>
      </c>
      <c r="D29" s="903" t="s">
        <v>627</v>
      </c>
      <c r="E29" s="422">
        <v>45830</v>
      </c>
      <c r="F29" s="423">
        <v>45833</v>
      </c>
      <c r="G29" s="421">
        <v>1</v>
      </c>
      <c r="H29" s="424">
        <v>1</v>
      </c>
      <c r="I29" s="899" t="s">
        <v>662</v>
      </c>
      <c r="J29" s="424" t="s">
        <v>595</v>
      </c>
      <c r="K29" s="424" t="s">
        <v>578</v>
      </c>
      <c r="L29" s="311"/>
    </row>
    <row r="30" spans="2:12" s="535" customFormat="1" ht="39.75" customHeight="1">
      <c r="B30" s="997">
        <v>21</v>
      </c>
      <c r="C30" s="896" t="s">
        <v>628</v>
      </c>
      <c r="D30" s="903" t="s">
        <v>629</v>
      </c>
      <c r="E30" s="422">
        <v>45817</v>
      </c>
      <c r="F30" s="423">
        <v>45817</v>
      </c>
      <c r="G30" s="421">
        <v>1</v>
      </c>
      <c r="H30" s="424">
        <v>1</v>
      </c>
      <c r="I30" s="899" t="s">
        <v>662</v>
      </c>
      <c r="J30" s="424" t="s">
        <v>596</v>
      </c>
      <c r="K30" s="424" t="s">
        <v>579</v>
      </c>
      <c r="L30" s="311"/>
    </row>
    <row r="31" spans="2:12" s="535" customFormat="1" ht="39.75" customHeight="1">
      <c r="B31" s="997">
        <v>22</v>
      </c>
      <c r="C31" s="896" t="s">
        <v>630</v>
      </c>
      <c r="D31" s="903" t="s">
        <v>482</v>
      </c>
      <c r="E31" s="422">
        <v>45814</v>
      </c>
      <c r="F31" s="423">
        <v>45815</v>
      </c>
      <c r="G31" s="421">
        <v>1</v>
      </c>
      <c r="H31" s="424">
        <v>1</v>
      </c>
      <c r="I31" s="899" t="s">
        <v>662</v>
      </c>
      <c r="J31" s="424" t="s">
        <v>597</v>
      </c>
      <c r="K31" s="424" t="s">
        <v>580</v>
      </c>
      <c r="L31" s="311"/>
    </row>
    <row r="32" spans="2:12" s="535" customFormat="1" ht="39.75" customHeight="1">
      <c r="B32" s="997">
        <v>23</v>
      </c>
      <c r="C32" s="896" t="s">
        <v>626</v>
      </c>
      <c r="D32" s="903" t="s">
        <v>627</v>
      </c>
      <c r="E32" s="422">
        <v>45793</v>
      </c>
      <c r="F32" s="423">
        <v>45797</v>
      </c>
      <c r="G32" s="421">
        <v>1</v>
      </c>
      <c r="H32" s="424">
        <v>1</v>
      </c>
      <c r="I32" s="899" t="s">
        <v>662</v>
      </c>
      <c r="J32" s="424" t="s">
        <v>595</v>
      </c>
      <c r="K32" s="424" t="s">
        <v>578</v>
      </c>
      <c r="L32" s="311"/>
    </row>
    <row r="33" spans="2:12" s="535" customFormat="1" ht="39.75" customHeight="1">
      <c r="B33" s="997">
        <v>24</v>
      </c>
      <c r="C33" s="896" t="s">
        <v>630</v>
      </c>
      <c r="D33" s="903" t="s">
        <v>482</v>
      </c>
      <c r="E33" s="422">
        <v>45768</v>
      </c>
      <c r="F33" s="423">
        <v>45769</v>
      </c>
      <c r="G33" s="421">
        <v>1</v>
      </c>
      <c r="H33" s="424">
        <v>1</v>
      </c>
      <c r="I33" s="899" t="s">
        <v>662</v>
      </c>
      <c r="J33" s="424" t="s">
        <v>597</v>
      </c>
      <c r="K33" s="424" t="s">
        <v>580</v>
      </c>
      <c r="L33" s="311"/>
    </row>
    <row r="34" spans="2:12" s="535" customFormat="1" ht="39.75" customHeight="1">
      <c r="B34" s="997">
        <v>25</v>
      </c>
      <c r="C34" s="896" t="s">
        <v>631</v>
      </c>
      <c r="D34" s="903" t="s">
        <v>734</v>
      </c>
      <c r="E34" s="422">
        <v>45749</v>
      </c>
      <c r="F34" s="423">
        <v>45751</v>
      </c>
      <c r="G34" s="421">
        <v>1</v>
      </c>
      <c r="H34" s="424">
        <v>1</v>
      </c>
      <c r="I34" s="899" t="s">
        <v>662</v>
      </c>
      <c r="J34" s="424" t="s">
        <v>595</v>
      </c>
      <c r="K34" s="424" t="s">
        <v>581</v>
      </c>
      <c r="L34" s="311"/>
    </row>
    <row r="35" spans="2:12" s="535" customFormat="1" ht="39.75" customHeight="1">
      <c r="B35" s="997">
        <v>26</v>
      </c>
      <c r="C35" s="896" t="s">
        <v>630</v>
      </c>
      <c r="D35" s="903" t="s">
        <v>482</v>
      </c>
      <c r="E35" s="422">
        <v>45736</v>
      </c>
      <c r="F35" s="423">
        <v>45737</v>
      </c>
      <c r="G35" s="421">
        <v>1</v>
      </c>
      <c r="H35" s="424">
        <v>1</v>
      </c>
      <c r="I35" s="899" t="s">
        <v>662</v>
      </c>
      <c r="J35" s="424" t="s">
        <v>597</v>
      </c>
      <c r="K35" s="424" t="s">
        <v>580</v>
      </c>
      <c r="L35" s="311"/>
    </row>
    <row r="36" spans="2:12" s="535" customFormat="1" ht="39.75" customHeight="1">
      <c r="B36" s="997">
        <v>27</v>
      </c>
      <c r="C36" s="896" t="s">
        <v>632</v>
      </c>
      <c r="D36" s="903" t="s">
        <v>633</v>
      </c>
      <c r="E36" s="422">
        <v>45714</v>
      </c>
      <c r="F36" s="423">
        <v>45715</v>
      </c>
      <c r="G36" s="421">
        <v>1</v>
      </c>
      <c r="H36" s="424">
        <v>1</v>
      </c>
      <c r="I36" s="899" t="s">
        <v>662</v>
      </c>
      <c r="J36" s="424" t="s">
        <v>595</v>
      </c>
      <c r="K36" s="424" t="s">
        <v>582</v>
      </c>
      <c r="L36" s="311"/>
    </row>
    <row r="37" spans="2:12" s="535" customFormat="1" ht="39.75" customHeight="1">
      <c r="B37" s="997">
        <v>28</v>
      </c>
      <c r="C37" s="896" t="s">
        <v>634</v>
      </c>
      <c r="D37" s="903" t="s">
        <v>482</v>
      </c>
      <c r="E37" s="422">
        <v>45693</v>
      </c>
      <c r="F37" s="423">
        <v>45696</v>
      </c>
      <c r="G37" s="421">
        <v>1</v>
      </c>
      <c r="H37" s="424">
        <v>1</v>
      </c>
      <c r="I37" s="899" t="s">
        <v>662</v>
      </c>
      <c r="J37" s="424" t="s">
        <v>597</v>
      </c>
      <c r="K37" s="424" t="s">
        <v>583</v>
      </c>
      <c r="L37" s="311"/>
    </row>
    <row r="38" spans="2:12" s="535" customFormat="1" ht="39.75" customHeight="1">
      <c r="B38" s="997">
        <v>29</v>
      </c>
      <c r="C38" s="896" t="s">
        <v>414</v>
      </c>
      <c r="D38" s="903" t="s">
        <v>414</v>
      </c>
      <c r="E38" s="422">
        <v>45675</v>
      </c>
      <c r="F38" s="423">
        <v>45676</v>
      </c>
      <c r="G38" s="421">
        <v>1</v>
      </c>
      <c r="H38" s="424">
        <v>1</v>
      </c>
      <c r="I38" s="899" t="s">
        <v>662</v>
      </c>
      <c r="J38" s="424" t="s">
        <v>598</v>
      </c>
      <c r="K38" s="424" t="s">
        <v>415</v>
      </c>
      <c r="L38" s="311"/>
    </row>
    <row r="39" spans="2:12" s="535" customFormat="1" ht="39.75" customHeight="1">
      <c r="B39" s="997">
        <v>30</v>
      </c>
      <c r="C39" s="896" t="s">
        <v>635</v>
      </c>
      <c r="D39" s="903" t="s">
        <v>633</v>
      </c>
      <c r="E39" s="422">
        <v>45668</v>
      </c>
      <c r="F39" s="423">
        <v>45669</v>
      </c>
      <c r="G39" s="421">
        <v>1</v>
      </c>
      <c r="H39" s="424">
        <v>1</v>
      </c>
      <c r="I39" s="899" t="s">
        <v>662</v>
      </c>
      <c r="J39" s="424" t="s">
        <v>599</v>
      </c>
      <c r="K39" s="424" t="s">
        <v>584</v>
      </c>
      <c r="L39" s="311"/>
    </row>
    <row r="40" spans="2:12" s="535" customFormat="1" ht="39.75" customHeight="1">
      <c r="B40" s="997">
        <v>31</v>
      </c>
      <c r="C40" s="896" t="s">
        <v>636</v>
      </c>
      <c r="D40" s="903" t="s">
        <v>482</v>
      </c>
      <c r="E40" s="422">
        <v>45648</v>
      </c>
      <c r="F40" s="423">
        <v>45649</v>
      </c>
      <c r="G40" s="421">
        <v>1</v>
      </c>
      <c r="H40" s="424">
        <v>1</v>
      </c>
      <c r="I40" s="899" t="s">
        <v>662</v>
      </c>
      <c r="J40" s="424" t="s">
        <v>600</v>
      </c>
      <c r="K40" s="424" t="s">
        <v>585</v>
      </c>
      <c r="L40" s="311"/>
    </row>
    <row r="41" spans="2:12" s="535" customFormat="1" ht="39.75" customHeight="1">
      <c r="B41" s="997">
        <v>32</v>
      </c>
      <c r="C41" s="896" t="s">
        <v>637</v>
      </c>
      <c r="D41" s="903" t="s">
        <v>638</v>
      </c>
      <c r="E41" s="422">
        <v>45634</v>
      </c>
      <c r="F41" s="423">
        <v>45635</v>
      </c>
      <c r="G41" s="421">
        <v>1</v>
      </c>
      <c r="H41" s="424">
        <v>1</v>
      </c>
      <c r="I41" s="899" t="s">
        <v>662</v>
      </c>
      <c r="J41" s="424" t="s">
        <v>601</v>
      </c>
      <c r="K41" s="424" t="s">
        <v>586</v>
      </c>
      <c r="L41" s="311"/>
    </row>
    <row r="42" spans="2:12" s="535" customFormat="1" ht="39.75" customHeight="1">
      <c r="B42" s="997">
        <v>33</v>
      </c>
      <c r="C42" s="896" t="s">
        <v>636</v>
      </c>
      <c r="D42" s="903" t="s">
        <v>482</v>
      </c>
      <c r="E42" s="422">
        <v>45628</v>
      </c>
      <c r="F42" s="423">
        <v>45629</v>
      </c>
      <c r="G42" s="421">
        <v>1</v>
      </c>
      <c r="H42" s="424">
        <v>1</v>
      </c>
      <c r="I42" s="899" t="s">
        <v>662</v>
      </c>
      <c r="J42" s="424" t="s">
        <v>600</v>
      </c>
      <c r="K42" s="424" t="s">
        <v>585</v>
      </c>
      <c r="L42" s="311"/>
    </row>
    <row r="43" spans="2:12" s="535" customFormat="1" ht="39.75" customHeight="1">
      <c r="B43" s="997">
        <v>34</v>
      </c>
      <c r="C43" s="896" t="s">
        <v>639</v>
      </c>
      <c r="D43" s="903" t="s">
        <v>734</v>
      </c>
      <c r="E43" s="422">
        <v>45611</v>
      </c>
      <c r="F43" s="423">
        <v>45612</v>
      </c>
      <c r="G43" s="421">
        <v>1</v>
      </c>
      <c r="H43" s="424">
        <v>1</v>
      </c>
      <c r="I43" s="899" t="s">
        <v>662</v>
      </c>
      <c r="J43" s="424" t="s">
        <v>602</v>
      </c>
      <c r="K43" s="424" t="s">
        <v>581</v>
      </c>
      <c r="L43" s="311"/>
    </row>
    <row r="44" spans="2:12" s="535" customFormat="1" ht="39.75" customHeight="1">
      <c r="B44" s="997">
        <v>35</v>
      </c>
      <c r="C44" s="896" t="s">
        <v>636</v>
      </c>
      <c r="D44" s="903" t="s">
        <v>482</v>
      </c>
      <c r="E44" s="422">
        <v>45596</v>
      </c>
      <c r="F44" s="423">
        <v>45598</v>
      </c>
      <c r="G44" s="421">
        <v>1</v>
      </c>
      <c r="H44" s="424">
        <v>1</v>
      </c>
      <c r="I44" s="899" t="s">
        <v>662</v>
      </c>
      <c r="J44" s="424" t="s">
        <v>600</v>
      </c>
      <c r="K44" s="424" t="s">
        <v>585</v>
      </c>
      <c r="L44" s="311"/>
    </row>
    <row r="45" spans="2:12" s="535" customFormat="1" ht="39.75" customHeight="1">
      <c r="B45" s="997">
        <v>36</v>
      </c>
      <c r="C45" s="896" t="s">
        <v>640</v>
      </c>
      <c r="D45" s="903" t="s">
        <v>641</v>
      </c>
      <c r="E45" s="422">
        <v>45561</v>
      </c>
      <c r="F45" s="423">
        <v>45562</v>
      </c>
      <c r="G45" s="421">
        <v>1</v>
      </c>
      <c r="H45" s="424" t="s">
        <v>115</v>
      </c>
      <c r="I45" s="899" t="s">
        <v>662</v>
      </c>
      <c r="J45" s="424" t="s">
        <v>603</v>
      </c>
      <c r="K45" s="424" t="s">
        <v>422</v>
      </c>
      <c r="L45" s="311"/>
    </row>
    <row r="46" spans="2:12" s="535" customFormat="1" ht="39.75" customHeight="1">
      <c r="B46" s="997">
        <v>37</v>
      </c>
      <c r="C46" s="896" t="s">
        <v>642</v>
      </c>
      <c r="D46" s="903" t="s">
        <v>643</v>
      </c>
      <c r="E46" s="422">
        <v>45551</v>
      </c>
      <c r="F46" s="423">
        <v>45553</v>
      </c>
      <c r="G46" s="421">
        <v>1</v>
      </c>
      <c r="H46" s="424">
        <v>1</v>
      </c>
      <c r="I46" s="899" t="s">
        <v>662</v>
      </c>
      <c r="J46" s="424" t="s">
        <v>604</v>
      </c>
      <c r="K46" s="424" t="s">
        <v>587</v>
      </c>
      <c r="L46" s="311"/>
    </row>
    <row r="47" spans="2:12" s="535" customFormat="1" ht="39.75" customHeight="1">
      <c r="B47" s="997">
        <v>38</v>
      </c>
      <c r="C47" s="896" t="s">
        <v>644</v>
      </c>
      <c r="D47" s="903" t="s">
        <v>645</v>
      </c>
      <c r="E47" s="422">
        <v>45522</v>
      </c>
      <c r="F47" s="423">
        <v>45522</v>
      </c>
      <c r="G47" s="421">
        <v>1</v>
      </c>
      <c r="H47" s="424" t="s">
        <v>115</v>
      </c>
      <c r="I47" s="899" t="s">
        <v>662</v>
      </c>
      <c r="J47" s="424" t="s">
        <v>605</v>
      </c>
      <c r="K47" s="424" t="s">
        <v>423</v>
      </c>
      <c r="L47" s="311"/>
    </row>
    <row r="48" spans="2:12" s="535" customFormat="1" ht="39.75" customHeight="1">
      <c r="B48" s="997">
        <v>39</v>
      </c>
      <c r="C48" s="896" t="s">
        <v>719</v>
      </c>
      <c r="D48" s="903" t="s">
        <v>482</v>
      </c>
      <c r="E48" s="422">
        <v>45502</v>
      </c>
      <c r="F48" s="423">
        <v>45503</v>
      </c>
      <c r="G48" s="421">
        <v>1</v>
      </c>
      <c r="H48" s="424">
        <v>1</v>
      </c>
      <c r="I48" s="899" t="s">
        <v>662</v>
      </c>
      <c r="J48" s="424" t="s">
        <v>606</v>
      </c>
      <c r="K48" s="424" t="s">
        <v>583</v>
      </c>
      <c r="L48" s="311"/>
    </row>
    <row r="49" spans="2:12" s="535" customFormat="1" ht="39.75" customHeight="1">
      <c r="B49" s="997">
        <v>40</v>
      </c>
      <c r="C49" s="896" t="s">
        <v>646</v>
      </c>
      <c r="D49" s="903" t="s">
        <v>647</v>
      </c>
      <c r="E49" s="422">
        <v>45494</v>
      </c>
      <c r="F49" s="423">
        <v>45495</v>
      </c>
      <c r="G49" s="421">
        <v>1</v>
      </c>
      <c r="H49" s="424">
        <v>1</v>
      </c>
      <c r="I49" s="902" t="s">
        <v>663</v>
      </c>
      <c r="J49" s="424" t="s">
        <v>607</v>
      </c>
      <c r="K49" s="424" t="s">
        <v>588</v>
      </c>
      <c r="L49" s="311"/>
    </row>
    <row r="50" spans="2:12" s="535" customFormat="1" ht="39.75" customHeight="1">
      <c r="B50" s="997">
        <v>41</v>
      </c>
      <c r="C50" s="896" t="s">
        <v>648</v>
      </c>
      <c r="D50" s="903" t="s">
        <v>619</v>
      </c>
      <c r="E50" s="422">
        <v>45481</v>
      </c>
      <c r="F50" s="423">
        <v>45486</v>
      </c>
      <c r="G50" s="421">
        <v>1</v>
      </c>
      <c r="H50" s="424">
        <v>1</v>
      </c>
      <c r="I50" s="899" t="s">
        <v>662</v>
      </c>
      <c r="J50" s="424" t="s">
        <v>608</v>
      </c>
      <c r="K50" s="424" t="s">
        <v>572</v>
      </c>
      <c r="L50" s="311"/>
    </row>
    <row r="51" spans="2:12" s="535" customFormat="1" ht="39.75" customHeight="1">
      <c r="B51" s="997">
        <v>42</v>
      </c>
      <c r="C51" s="896" t="s">
        <v>620</v>
      </c>
      <c r="D51" s="903" t="s">
        <v>621</v>
      </c>
      <c r="E51" s="422">
        <v>45461</v>
      </c>
      <c r="F51" s="423">
        <v>45465</v>
      </c>
      <c r="G51" s="421">
        <v>1</v>
      </c>
      <c r="H51" s="424">
        <v>1</v>
      </c>
      <c r="I51" s="899" t="s">
        <v>662</v>
      </c>
      <c r="J51" s="425" t="s">
        <v>609</v>
      </c>
      <c r="K51" s="424" t="s">
        <v>573</v>
      </c>
      <c r="L51" s="311"/>
    </row>
    <row r="52" spans="2:12" s="535" customFormat="1" ht="39.75" customHeight="1">
      <c r="B52" s="997">
        <v>43</v>
      </c>
      <c r="C52" s="896" t="s">
        <v>649</v>
      </c>
      <c r="D52" s="903" t="s">
        <v>650</v>
      </c>
      <c r="E52" s="422">
        <v>45443</v>
      </c>
      <c r="F52" s="423">
        <v>45443</v>
      </c>
      <c r="G52" s="421">
        <v>1</v>
      </c>
      <c r="H52" s="424">
        <v>1</v>
      </c>
      <c r="I52" s="899" t="s">
        <v>662</v>
      </c>
      <c r="J52" s="424" t="s">
        <v>610</v>
      </c>
      <c r="K52" s="424" t="s">
        <v>589</v>
      </c>
      <c r="L52" s="311"/>
    </row>
    <row r="53" spans="2:12" s="535" customFormat="1" ht="39.75" customHeight="1">
      <c r="B53" s="997">
        <v>44</v>
      </c>
      <c r="C53" s="896" t="s">
        <v>719</v>
      </c>
      <c r="D53" s="903" t="s">
        <v>482</v>
      </c>
      <c r="E53" s="422">
        <v>45422</v>
      </c>
      <c r="F53" s="423">
        <v>45423</v>
      </c>
      <c r="G53" s="421">
        <v>1</v>
      </c>
      <c r="H53" s="424">
        <v>1</v>
      </c>
      <c r="I53" s="899" t="s">
        <v>662</v>
      </c>
      <c r="J53" s="424" t="s">
        <v>606</v>
      </c>
      <c r="K53" s="424" t="s">
        <v>583</v>
      </c>
      <c r="L53" s="311"/>
    </row>
    <row r="54" spans="2:12" s="535" customFormat="1" ht="39.75" customHeight="1">
      <c r="B54" s="997">
        <v>45</v>
      </c>
      <c r="C54" s="896" t="s">
        <v>651</v>
      </c>
      <c r="D54" s="903" t="s">
        <v>652</v>
      </c>
      <c r="E54" s="422">
        <v>45411</v>
      </c>
      <c r="F54" s="423">
        <v>45413</v>
      </c>
      <c r="G54" s="421">
        <v>1</v>
      </c>
      <c r="H54" s="424">
        <v>1</v>
      </c>
      <c r="I54" s="899" t="s">
        <v>662</v>
      </c>
      <c r="J54" s="424" t="s">
        <v>611</v>
      </c>
      <c r="K54" s="424" t="s">
        <v>590</v>
      </c>
      <c r="L54" s="311"/>
    </row>
    <row r="55" spans="2:12" s="535" customFormat="1" ht="39.75" customHeight="1">
      <c r="B55" s="997">
        <v>46</v>
      </c>
      <c r="C55" s="896" t="s">
        <v>646</v>
      </c>
      <c r="D55" s="903" t="s">
        <v>647</v>
      </c>
      <c r="E55" s="422">
        <v>45400</v>
      </c>
      <c r="F55" s="423">
        <v>45401</v>
      </c>
      <c r="G55" s="421">
        <v>1</v>
      </c>
      <c r="H55" s="424">
        <v>1</v>
      </c>
      <c r="I55" s="902" t="s">
        <v>663</v>
      </c>
      <c r="J55" s="424" t="s">
        <v>612</v>
      </c>
      <c r="K55" s="424" t="s">
        <v>588</v>
      </c>
      <c r="L55" s="311"/>
    </row>
    <row r="56" spans="2:12" s="709" customFormat="1" ht="39.75" customHeight="1">
      <c r="B56" s="997">
        <v>47</v>
      </c>
      <c r="C56" s="896" t="s">
        <v>653</v>
      </c>
      <c r="D56" s="903" t="s">
        <v>647</v>
      </c>
      <c r="E56" s="422">
        <v>45390</v>
      </c>
      <c r="F56" s="423">
        <v>45400</v>
      </c>
      <c r="G56" s="421">
        <v>1</v>
      </c>
      <c r="H56" s="424">
        <v>1</v>
      </c>
      <c r="I56" s="902" t="s">
        <v>663</v>
      </c>
      <c r="J56" s="424" t="s">
        <v>613</v>
      </c>
      <c r="K56" s="424" t="s">
        <v>591</v>
      </c>
      <c r="L56" s="311"/>
    </row>
    <row r="57" spans="2:12" s="857" customFormat="1" ht="39.75" customHeight="1">
      <c r="B57" s="997">
        <v>48</v>
      </c>
      <c r="C57" s="896" t="s">
        <v>654</v>
      </c>
      <c r="D57" s="903" t="s">
        <v>655</v>
      </c>
      <c r="E57" s="422">
        <v>45376</v>
      </c>
      <c r="F57" s="423">
        <v>45377</v>
      </c>
      <c r="G57" s="421">
        <v>1</v>
      </c>
      <c r="H57" s="424">
        <v>1</v>
      </c>
      <c r="I57" s="902" t="s">
        <v>663</v>
      </c>
      <c r="J57" s="424" t="s">
        <v>90</v>
      </c>
      <c r="K57" s="424" t="s">
        <v>592</v>
      </c>
      <c r="L57" s="311"/>
    </row>
    <row r="58" spans="2:12" s="873" customFormat="1" ht="39.75" customHeight="1">
      <c r="B58" s="997">
        <v>49</v>
      </c>
      <c r="C58" s="896" t="s">
        <v>641</v>
      </c>
      <c r="D58" s="903" t="s">
        <v>641</v>
      </c>
      <c r="E58" s="422">
        <v>45331</v>
      </c>
      <c r="F58" s="423">
        <v>45337</v>
      </c>
      <c r="G58" s="421">
        <v>1</v>
      </c>
      <c r="H58" s="424">
        <v>1</v>
      </c>
      <c r="I58" s="902" t="s">
        <v>663</v>
      </c>
      <c r="J58" s="424" t="s">
        <v>614</v>
      </c>
      <c r="K58" s="424" t="s">
        <v>422</v>
      </c>
      <c r="L58" s="311"/>
    </row>
    <row r="59" spans="2:12" s="878" customFormat="1" ht="39.75" customHeight="1">
      <c r="B59" s="997">
        <v>50</v>
      </c>
      <c r="C59" s="896" t="s">
        <v>656</v>
      </c>
      <c r="D59" s="903" t="s">
        <v>657</v>
      </c>
      <c r="E59" s="422">
        <v>45321</v>
      </c>
      <c r="F59" s="423">
        <v>45322</v>
      </c>
      <c r="G59" s="421">
        <v>1</v>
      </c>
      <c r="H59" s="424">
        <v>1</v>
      </c>
      <c r="I59" s="899" t="s">
        <v>662</v>
      </c>
      <c r="J59" s="424" t="s">
        <v>615</v>
      </c>
      <c r="K59" s="424" t="s">
        <v>593</v>
      </c>
      <c r="L59" s="311"/>
    </row>
    <row r="60" spans="2:12" s="975" customFormat="1" ht="39.75" customHeight="1">
      <c r="B60" s="997">
        <v>51</v>
      </c>
      <c r="C60" s="896" t="s">
        <v>656</v>
      </c>
      <c r="D60" s="903" t="s">
        <v>657</v>
      </c>
      <c r="E60" s="422">
        <v>45317</v>
      </c>
      <c r="F60" s="423">
        <v>45319</v>
      </c>
      <c r="G60" s="421">
        <v>1</v>
      </c>
      <c r="H60" s="424">
        <v>1</v>
      </c>
      <c r="I60" s="899" t="s">
        <v>662</v>
      </c>
      <c r="J60" s="424" t="s">
        <v>616</v>
      </c>
      <c r="K60" s="424" t="s">
        <v>593</v>
      </c>
      <c r="L60" s="311"/>
    </row>
    <row r="61" spans="2:12" s="988" customFormat="1" ht="39.75" customHeight="1">
      <c r="B61" s="997">
        <v>52</v>
      </c>
      <c r="C61" s="896" t="s">
        <v>658</v>
      </c>
      <c r="D61" s="903" t="s">
        <v>657</v>
      </c>
      <c r="E61" s="422">
        <v>45314</v>
      </c>
      <c r="F61" s="423">
        <v>45316</v>
      </c>
      <c r="G61" s="421">
        <v>1</v>
      </c>
      <c r="H61" s="424">
        <v>1</v>
      </c>
      <c r="I61" s="899" t="s">
        <v>662</v>
      </c>
      <c r="J61" s="424" t="s">
        <v>617</v>
      </c>
      <c r="K61" s="424" t="s">
        <v>594</v>
      </c>
      <c r="L61" s="311"/>
    </row>
    <row r="62" spans="2:12" s="535" customFormat="1" ht="39.75" customHeight="1">
      <c r="L62" s="311"/>
    </row>
    <row r="63" spans="2:12" s="535" customFormat="1" ht="31.9" customHeight="1">
      <c r="B63" s="587"/>
      <c r="C63" s="588"/>
      <c r="D63" s="588"/>
      <c r="E63" s="589"/>
      <c r="F63" s="590"/>
      <c r="G63" s="591"/>
      <c r="H63" s="592"/>
      <c r="I63" s="592"/>
      <c r="J63" s="336"/>
      <c r="K63" s="593"/>
      <c r="L63" s="311"/>
    </row>
    <row r="64" spans="2:12" s="332" customFormat="1" ht="24.75" customHeight="1">
      <c r="B64" s="333"/>
      <c r="C64" s="334"/>
      <c r="D64" s="334"/>
      <c r="E64" s="335"/>
      <c r="F64" s="336"/>
      <c r="G64" s="337"/>
      <c r="H64" s="338"/>
      <c r="I64" s="338"/>
      <c r="J64" s="339" t="str">
        <f>M.Menu!S15</f>
        <v>CAPT. WENDT ROBERT</v>
      </c>
      <c r="K64" s="336"/>
    </row>
    <row r="65" spans="2:11" ht="31.5" customHeight="1">
      <c r="B65" s="333"/>
      <c r="C65" s="334"/>
      <c r="D65" s="334"/>
      <c r="E65" s="335"/>
      <c r="F65" s="336"/>
      <c r="G65" s="337"/>
      <c r="H65" s="338"/>
      <c r="I65" s="338"/>
      <c r="J65" s="340" t="s">
        <v>298</v>
      </c>
      <c r="K65" s="336"/>
    </row>
    <row r="66" spans="2:11" ht="31.5" customHeight="1">
      <c r="B66" s="398"/>
      <c r="C66" s="399"/>
      <c r="D66" s="334"/>
      <c r="E66" s="400"/>
      <c r="F66" s="401"/>
      <c r="G66" s="402"/>
      <c r="H66" s="403"/>
      <c r="I66" s="403"/>
      <c r="J66" s="401"/>
      <c r="K66" s="401"/>
    </row>
    <row r="67" spans="2:11" ht="31.5" customHeight="1">
      <c r="B67" s="404">
        <v>26</v>
      </c>
      <c r="C67" s="405"/>
      <c r="D67" s="897"/>
      <c r="E67" s="406"/>
      <c r="F67" s="407"/>
      <c r="G67" s="408"/>
      <c r="H67" s="409"/>
      <c r="I67" s="409"/>
      <c r="J67" s="407"/>
      <c r="K67" s="407"/>
    </row>
    <row r="68" spans="2:11" ht="31.5" customHeight="1">
      <c r="B68" s="404"/>
      <c r="C68" s="405"/>
      <c r="D68" s="341"/>
      <c r="E68" s="410"/>
      <c r="F68" s="248"/>
      <c r="G68" s="411"/>
      <c r="H68" s="412"/>
      <c r="I68" s="412"/>
      <c r="J68" s="413"/>
      <c r="K68" s="407"/>
    </row>
    <row r="69" spans="2:11" ht="31.5" customHeight="1">
      <c r="B69" s="404"/>
      <c r="C69" s="405"/>
      <c r="D69" s="341"/>
      <c r="E69" s="410"/>
      <c r="F69" s="411"/>
      <c r="G69" s="411"/>
      <c r="H69" s="412"/>
      <c r="I69" s="412"/>
      <c r="J69" s="413"/>
      <c r="K69" s="413"/>
    </row>
    <row r="70" spans="2:11" ht="31.5" customHeight="1">
      <c r="B70" s="404"/>
      <c r="C70" s="405"/>
      <c r="D70" s="341"/>
      <c r="E70" s="410"/>
      <c r="F70" s="411"/>
      <c r="G70" s="411"/>
      <c r="H70" s="413"/>
      <c r="I70" s="413"/>
      <c r="J70" s="413"/>
      <c r="K70" s="413"/>
    </row>
    <row r="71" spans="2:11" ht="31.5" customHeight="1">
      <c r="B71" s="404">
        <v>1</v>
      </c>
      <c r="C71" s="405"/>
      <c r="D71" s="341"/>
      <c r="E71" s="410"/>
      <c r="F71" s="411"/>
      <c r="G71" s="411"/>
      <c r="H71" s="412"/>
      <c r="I71" s="412"/>
      <c r="J71" s="413"/>
      <c r="K71" s="413"/>
    </row>
    <row r="72" spans="2:11" ht="31.5" customHeight="1">
      <c r="B72" s="404">
        <v>1</v>
      </c>
      <c r="C72" s="405"/>
      <c r="D72" s="341"/>
      <c r="E72" s="410"/>
      <c r="F72" s="411"/>
      <c r="G72" s="411"/>
      <c r="H72" s="412"/>
      <c r="I72" s="412"/>
      <c r="J72" s="413"/>
      <c r="K72" s="413"/>
    </row>
    <row r="73" spans="2:11" ht="31.5" customHeight="1">
      <c r="B73" s="404">
        <v>1</v>
      </c>
      <c r="C73" s="405"/>
      <c r="D73" s="341"/>
      <c r="E73" s="414"/>
      <c r="F73" s="411"/>
      <c r="G73" s="411"/>
      <c r="H73" s="412"/>
      <c r="I73" s="412"/>
      <c r="J73" s="413"/>
      <c r="K73" s="413"/>
    </row>
    <row r="74" spans="2:11" ht="31.5" customHeight="1">
      <c r="B74" s="404">
        <v>1</v>
      </c>
      <c r="C74" s="405"/>
      <c r="D74" s="341"/>
      <c r="E74" s="410"/>
      <c r="F74" s="411"/>
      <c r="G74" s="411"/>
      <c r="H74" s="412"/>
      <c r="I74" s="412"/>
      <c r="J74" s="413"/>
      <c r="K74" s="413"/>
    </row>
    <row r="75" spans="2:11" ht="31.5" customHeight="1">
      <c r="B75" s="404">
        <v>1</v>
      </c>
      <c r="C75" s="405"/>
      <c r="D75" s="341"/>
      <c r="E75" s="410"/>
      <c r="F75" s="411"/>
      <c r="G75" s="411"/>
      <c r="H75" s="413"/>
      <c r="I75" s="413"/>
      <c r="J75" s="413"/>
      <c r="K75" s="413"/>
    </row>
    <row r="76" spans="2:11" ht="31.5" customHeight="1">
      <c r="B76" s="404">
        <v>1</v>
      </c>
      <c r="C76" s="405"/>
      <c r="D76" s="341"/>
      <c r="E76" s="410"/>
      <c r="F76" s="411"/>
      <c r="G76" s="411"/>
      <c r="H76" s="413"/>
      <c r="I76" s="413"/>
      <c r="J76" s="413"/>
      <c r="K76" s="413"/>
    </row>
    <row r="77" spans="2:11" ht="31.5" customHeight="1">
      <c r="B77" s="404">
        <v>1</v>
      </c>
      <c r="C77" s="405"/>
      <c r="D77" s="341"/>
      <c r="E77" s="410"/>
      <c r="F77" s="411"/>
      <c r="G77" s="411"/>
      <c r="H77" s="412"/>
      <c r="I77" s="412"/>
      <c r="J77" s="413"/>
      <c r="K77" s="413"/>
    </row>
    <row r="78" spans="2:11" ht="31.5" customHeight="1">
      <c r="B78" s="404">
        <v>1</v>
      </c>
      <c r="C78" s="405"/>
      <c r="D78" s="341"/>
      <c r="E78" s="410"/>
      <c r="F78" s="411"/>
      <c r="G78" s="411"/>
      <c r="H78" s="412"/>
      <c r="I78" s="412"/>
      <c r="J78" s="413"/>
      <c r="K78" s="413"/>
    </row>
    <row r="79" spans="2:11" ht="31.5" customHeight="1">
      <c r="B79" s="404">
        <v>1</v>
      </c>
      <c r="C79" s="405"/>
      <c r="D79" s="341"/>
      <c r="E79" s="410"/>
      <c r="F79" s="411"/>
      <c r="G79" s="411"/>
      <c r="H79" s="413"/>
      <c r="I79" s="413"/>
      <c r="J79" s="413"/>
      <c r="K79" s="413"/>
    </row>
    <row r="80" spans="2:11" ht="31.5" customHeight="1">
      <c r="B80" s="404">
        <v>1</v>
      </c>
      <c r="C80" s="405"/>
      <c r="D80" s="341"/>
      <c r="E80" s="410"/>
      <c r="F80" s="411"/>
      <c r="G80" s="411"/>
      <c r="H80" s="413"/>
      <c r="I80" s="413"/>
      <c r="J80" s="413"/>
      <c r="K80" s="413"/>
    </row>
    <row r="81" spans="2:11" ht="31.5" customHeight="1">
      <c r="B81" s="404">
        <v>1</v>
      </c>
      <c r="C81" s="415"/>
      <c r="D81" s="399"/>
      <c r="E81" s="416"/>
      <c r="F81" s="417"/>
      <c r="G81" s="417"/>
      <c r="H81" s="418"/>
      <c r="I81" s="418"/>
      <c r="J81" s="418"/>
      <c r="K81" s="413"/>
    </row>
    <row r="82" spans="2:11" ht="31.5" customHeight="1">
      <c r="B82" s="404">
        <v>1</v>
      </c>
      <c r="C82" s="415"/>
      <c r="D82" s="415"/>
      <c r="E82" s="357"/>
      <c r="F82" s="358"/>
      <c r="G82" s="358"/>
      <c r="H82" s="359"/>
      <c r="I82" s="359"/>
      <c r="J82" s="360"/>
      <c r="K82" s="418"/>
    </row>
    <row r="83" spans="2:11" ht="31.5" customHeight="1">
      <c r="B83" s="404">
        <v>1</v>
      </c>
      <c r="C83" s="415"/>
      <c r="D83" s="415"/>
      <c r="E83" s="357"/>
      <c r="F83" s="358"/>
      <c r="G83" s="358"/>
      <c r="H83" s="359"/>
      <c r="I83" s="359"/>
      <c r="J83" s="360"/>
      <c r="K83" s="360"/>
    </row>
    <row r="84" spans="2:11" ht="31.5" customHeight="1">
      <c r="B84" s="404">
        <v>1</v>
      </c>
      <c r="C84" s="415"/>
      <c r="D84" s="415"/>
      <c r="E84" s="357"/>
      <c r="F84" s="358"/>
      <c r="G84" s="358"/>
      <c r="H84" s="359"/>
      <c r="I84" s="359"/>
      <c r="J84" s="360"/>
      <c r="K84" s="360"/>
    </row>
    <row r="85" spans="2:11" ht="31.5" customHeight="1">
      <c r="B85" s="404">
        <v>1</v>
      </c>
      <c r="C85" s="415"/>
      <c r="D85" s="415"/>
      <c r="E85" s="357"/>
      <c r="F85" s="358"/>
      <c r="G85" s="358"/>
      <c r="H85" s="359"/>
      <c r="I85" s="359"/>
      <c r="J85" s="360"/>
      <c r="K85" s="360"/>
    </row>
    <row r="86" spans="2:11" ht="31.5" customHeight="1">
      <c r="B86" s="404">
        <v>1</v>
      </c>
      <c r="C86" s="415"/>
      <c r="D86" s="415"/>
      <c r="E86" s="357"/>
      <c r="F86" s="358"/>
      <c r="G86" s="358"/>
      <c r="H86" s="359"/>
      <c r="I86" s="359"/>
      <c r="J86" s="360"/>
      <c r="K86" s="360"/>
    </row>
    <row r="87" spans="2:11" ht="31.5" customHeight="1">
      <c r="B87" s="404">
        <v>1</v>
      </c>
      <c r="C87" s="415"/>
      <c r="D87" s="415"/>
      <c r="E87" s="357"/>
      <c r="F87" s="358"/>
      <c r="G87" s="358"/>
      <c r="H87" s="359"/>
      <c r="I87" s="359"/>
      <c r="J87" s="360"/>
      <c r="K87" s="360"/>
    </row>
    <row r="88" spans="2:11" ht="31.5" customHeight="1">
      <c r="B88" s="404">
        <v>1</v>
      </c>
      <c r="C88" s="415"/>
      <c r="D88" s="415"/>
      <c r="E88" s="357"/>
      <c r="F88" s="358"/>
      <c r="G88" s="358"/>
      <c r="H88" s="359"/>
      <c r="I88" s="359"/>
      <c r="J88" s="360"/>
      <c r="K88" s="360"/>
    </row>
    <row r="89" spans="2:11" ht="31.5" customHeight="1">
      <c r="B89" s="404">
        <v>1</v>
      </c>
      <c r="C89" s="415"/>
      <c r="D89" s="415"/>
      <c r="E89" s="357"/>
      <c r="F89" s="358"/>
      <c r="G89" s="358"/>
      <c r="H89" s="359"/>
      <c r="I89" s="359"/>
      <c r="J89" s="360"/>
      <c r="K89" s="360"/>
    </row>
    <row r="90" spans="2:11" ht="31.5" customHeight="1">
      <c r="B90" s="404">
        <v>1</v>
      </c>
      <c r="C90" s="415"/>
      <c r="D90" s="415"/>
      <c r="E90" s="357"/>
      <c r="F90" s="358"/>
      <c r="G90" s="358"/>
      <c r="H90" s="359"/>
      <c r="I90" s="359"/>
      <c r="J90" s="360"/>
      <c r="K90" s="360"/>
    </row>
    <row r="91" spans="2:11" ht="31.5" customHeight="1">
      <c r="B91" s="404">
        <v>1</v>
      </c>
      <c r="C91" s="415"/>
      <c r="D91" s="415"/>
      <c r="E91" s="357"/>
      <c r="F91" s="358"/>
      <c r="G91" s="358"/>
      <c r="H91" s="359"/>
      <c r="I91" s="359"/>
      <c r="J91" s="360"/>
      <c r="K91" s="360"/>
    </row>
    <row r="92" spans="2:11" ht="31.5" customHeight="1">
      <c r="B92" s="404">
        <v>1</v>
      </c>
      <c r="C92" s="415"/>
      <c r="D92" s="415"/>
      <c r="E92" s="357"/>
      <c r="F92" s="358"/>
      <c r="G92" s="358"/>
      <c r="H92" s="359"/>
      <c r="I92" s="359"/>
      <c r="J92" s="360"/>
      <c r="K92" s="360"/>
    </row>
    <row r="93" spans="2:11" ht="31.5" customHeight="1">
      <c r="B93" s="404">
        <v>1</v>
      </c>
      <c r="C93" s="415"/>
      <c r="D93" s="415"/>
      <c r="E93" s="357"/>
      <c r="F93" s="358"/>
      <c r="G93" s="358"/>
      <c r="H93" s="359"/>
      <c r="I93" s="359"/>
      <c r="J93" s="360"/>
      <c r="K93" s="360"/>
    </row>
    <row r="94" spans="2:11" ht="31.5" customHeight="1">
      <c r="B94" s="404">
        <v>1</v>
      </c>
      <c r="C94" s="415"/>
      <c r="D94" s="415"/>
      <c r="E94" s="357"/>
      <c r="F94" s="358"/>
      <c r="G94" s="358"/>
      <c r="H94" s="359"/>
      <c r="I94" s="359"/>
      <c r="J94" s="360"/>
      <c r="K94" s="360"/>
    </row>
    <row r="95" spans="2:11" ht="31.5" customHeight="1">
      <c r="B95" s="404">
        <v>1</v>
      </c>
      <c r="C95" s="415"/>
      <c r="D95" s="415"/>
      <c r="E95" s="357"/>
      <c r="F95" s="358"/>
      <c r="G95" s="358"/>
      <c r="H95" s="359"/>
      <c r="I95" s="359"/>
      <c r="J95" s="360"/>
      <c r="K95" s="360"/>
    </row>
    <row r="96" spans="2:11" ht="31.5" customHeight="1">
      <c r="B96" s="404">
        <v>1</v>
      </c>
      <c r="C96" s="415"/>
      <c r="D96" s="415"/>
      <c r="E96" s="357"/>
      <c r="F96" s="358"/>
      <c r="G96" s="358"/>
      <c r="H96" s="359"/>
      <c r="I96" s="359"/>
      <c r="J96" s="360"/>
      <c r="K96" s="360"/>
    </row>
    <row r="97" spans="2:11" ht="31.5" customHeight="1">
      <c r="B97" s="404">
        <v>1</v>
      </c>
      <c r="C97" s="415"/>
      <c r="D97" s="415"/>
      <c r="E97" s="357"/>
      <c r="F97" s="358"/>
      <c r="G97" s="358"/>
      <c r="H97" s="359"/>
      <c r="I97" s="359"/>
      <c r="J97" s="360"/>
      <c r="K97" s="360"/>
    </row>
    <row r="98" spans="2:11" ht="31.5" customHeight="1">
      <c r="B98" s="404">
        <v>1</v>
      </c>
      <c r="C98" s="415"/>
      <c r="D98" s="415"/>
      <c r="E98" s="357"/>
      <c r="F98" s="358"/>
      <c r="G98" s="358"/>
      <c r="H98" s="359"/>
      <c r="I98" s="359"/>
      <c r="J98" s="360"/>
      <c r="K98" s="360"/>
    </row>
    <row r="99" spans="2:11" ht="31.5" customHeight="1">
      <c r="B99" s="355">
        <v>54</v>
      </c>
      <c r="C99" s="415"/>
      <c r="D99" s="415"/>
      <c r="E99" s="357"/>
      <c r="F99" s="358"/>
      <c r="G99" s="358"/>
      <c r="H99" s="359"/>
      <c r="I99" s="359"/>
      <c r="J99" s="360"/>
      <c r="K99" s="360"/>
    </row>
    <row r="100" spans="2:11" ht="31.5" customHeight="1">
      <c r="B100" s="355">
        <v>55</v>
      </c>
      <c r="C100" s="415"/>
      <c r="D100" s="415"/>
      <c r="E100" s="357"/>
      <c r="F100" s="358"/>
      <c r="G100" s="358"/>
      <c r="H100" s="359"/>
      <c r="I100" s="359"/>
      <c r="J100" s="360"/>
      <c r="K100" s="360"/>
    </row>
    <row r="101" spans="2:11" ht="31.5" customHeight="1">
      <c r="B101" s="355">
        <v>56</v>
      </c>
      <c r="C101" s="415"/>
      <c r="D101" s="415"/>
      <c r="E101" s="357"/>
      <c r="F101" s="358"/>
      <c r="G101" s="358"/>
      <c r="H101" s="359"/>
      <c r="I101" s="359"/>
      <c r="J101" s="360"/>
      <c r="K101" s="360"/>
    </row>
    <row r="102" spans="2:11" ht="31.5" customHeight="1">
      <c r="B102" s="355">
        <v>57</v>
      </c>
      <c r="C102" s="415"/>
      <c r="D102" s="415"/>
      <c r="E102" s="357"/>
      <c r="F102" s="358"/>
      <c r="G102" s="358"/>
      <c r="H102" s="359"/>
      <c r="I102" s="359"/>
      <c r="J102" s="360"/>
      <c r="K102" s="360"/>
    </row>
    <row r="103" spans="2:11" ht="31.5" customHeight="1">
      <c r="B103" s="355">
        <v>58</v>
      </c>
      <c r="C103" s="415"/>
      <c r="D103" s="415"/>
      <c r="E103" s="357"/>
      <c r="F103" s="358"/>
      <c r="G103" s="358"/>
      <c r="H103" s="359"/>
      <c r="I103" s="359"/>
      <c r="J103" s="360"/>
      <c r="K103" s="360"/>
    </row>
    <row r="104" spans="2:11" ht="31.5" customHeight="1">
      <c r="B104" s="355">
        <v>59</v>
      </c>
      <c r="C104" s="415"/>
      <c r="D104" s="415"/>
      <c r="E104" s="357"/>
      <c r="F104" s="358"/>
      <c r="G104" s="358"/>
      <c r="H104" s="359"/>
      <c r="I104" s="359"/>
      <c r="J104" s="360"/>
      <c r="K104" s="360"/>
    </row>
    <row r="105" spans="2:11" ht="31.5" customHeight="1">
      <c r="B105" s="355">
        <v>60</v>
      </c>
      <c r="C105" s="415"/>
      <c r="D105" s="415"/>
      <c r="E105" s="357"/>
      <c r="F105" s="358"/>
      <c r="G105" s="358"/>
      <c r="H105" s="359"/>
      <c r="I105" s="359"/>
      <c r="J105" s="360"/>
      <c r="K105" s="360"/>
    </row>
    <row r="106" spans="2:11" ht="31.5" customHeight="1">
      <c r="B106" s="355">
        <v>61</v>
      </c>
      <c r="C106" s="415"/>
      <c r="D106" s="415"/>
      <c r="E106" s="357"/>
      <c r="F106" s="358"/>
      <c r="G106" s="358"/>
      <c r="H106" s="359"/>
      <c r="I106" s="359"/>
      <c r="J106" s="360"/>
      <c r="K106" s="360"/>
    </row>
    <row r="107" spans="2:11" ht="31.5" customHeight="1">
      <c r="B107" s="355">
        <v>62</v>
      </c>
      <c r="C107" s="415"/>
      <c r="D107" s="415"/>
      <c r="E107" s="357"/>
      <c r="F107" s="358"/>
      <c r="G107" s="419"/>
      <c r="H107" s="359"/>
      <c r="I107" s="359"/>
      <c r="J107" s="360"/>
      <c r="K107" s="360"/>
    </row>
    <row r="108" spans="2:11" ht="31.5" customHeight="1">
      <c r="B108" s="355">
        <v>63</v>
      </c>
      <c r="C108" s="415"/>
      <c r="D108" s="415"/>
      <c r="E108" s="357"/>
      <c r="F108" s="358"/>
      <c r="G108" s="419"/>
      <c r="H108" s="359"/>
      <c r="I108" s="359"/>
      <c r="J108" s="360"/>
      <c r="K108" s="360"/>
    </row>
    <row r="109" spans="2:11" ht="31.5" customHeight="1">
      <c r="B109" s="355">
        <v>64</v>
      </c>
      <c r="C109" s="415"/>
      <c r="D109" s="415"/>
      <c r="E109" s="357"/>
      <c r="F109" s="358"/>
      <c r="G109" s="419"/>
      <c r="H109" s="359"/>
      <c r="I109" s="359"/>
      <c r="J109" s="360"/>
      <c r="K109" s="360"/>
    </row>
    <row r="110" spans="2:11" ht="31.5" customHeight="1">
      <c r="B110" s="355">
        <v>65</v>
      </c>
      <c r="C110" s="415"/>
      <c r="D110" s="415"/>
      <c r="E110" s="357"/>
      <c r="F110" s="358"/>
      <c r="G110" s="419"/>
      <c r="H110" s="359"/>
      <c r="I110" s="359"/>
      <c r="J110" s="360"/>
      <c r="K110" s="360"/>
    </row>
    <row r="111" spans="2:11" ht="31.5" customHeight="1">
      <c r="B111" s="355">
        <v>66</v>
      </c>
      <c r="C111" s="415"/>
      <c r="D111" s="415"/>
      <c r="E111" s="357"/>
      <c r="F111" s="358"/>
      <c r="G111" s="358"/>
      <c r="H111" s="359"/>
      <c r="I111" s="359"/>
      <c r="J111" s="360"/>
      <c r="K111" s="360"/>
    </row>
    <row r="112" spans="2:11" ht="31.5" customHeight="1">
      <c r="B112" s="355">
        <v>67</v>
      </c>
      <c r="C112" s="415"/>
      <c r="D112" s="415"/>
      <c r="E112" s="357"/>
      <c r="F112" s="358"/>
      <c r="G112" s="358"/>
      <c r="H112" s="359"/>
      <c r="I112" s="359"/>
      <c r="J112" s="360"/>
      <c r="K112" s="360"/>
    </row>
    <row r="113" spans="2:11" ht="31.5" customHeight="1">
      <c r="B113" s="355">
        <v>68</v>
      </c>
      <c r="C113" s="415"/>
      <c r="D113" s="415"/>
      <c r="E113" s="357"/>
      <c r="F113" s="358"/>
      <c r="G113" s="358"/>
      <c r="H113" s="359"/>
      <c r="I113" s="359"/>
      <c r="J113" s="360"/>
      <c r="K113" s="360"/>
    </row>
    <row r="114" spans="2:11" ht="31.5" customHeight="1">
      <c r="B114" s="355">
        <v>69</v>
      </c>
      <c r="C114" s="415"/>
      <c r="D114" s="415"/>
      <c r="E114" s="357"/>
      <c r="F114" s="358"/>
      <c r="G114" s="358"/>
      <c r="H114" s="359"/>
      <c r="I114" s="359"/>
      <c r="J114" s="360"/>
      <c r="K114" s="360"/>
    </row>
    <row r="115" spans="2:11" ht="31.5" customHeight="1">
      <c r="B115" s="355">
        <v>70</v>
      </c>
      <c r="C115" s="415"/>
      <c r="D115" s="415"/>
      <c r="E115" s="357"/>
      <c r="F115" s="358"/>
      <c r="G115" s="358"/>
      <c r="H115" s="359"/>
      <c r="I115" s="359"/>
      <c r="J115" s="360"/>
      <c r="K115" s="360"/>
    </row>
    <row r="116" spans="2:11" ht="31.5" customHeight="1">
      <c r="B116" s="355">
        <v>71</v>
      </c>
      <c r="C116" s="415"/>
      <c r="D116" s="415"/>
      <c r="E116" s="357"/>
      <c r="F116" s="358"/>
      <c r="G116" s="358"/>
      <c r="H116" s="359"/>
      <c r="I116" s="359"/>
      <c r="J116" s="360"/>
      <c r="K116" s="360"/>
    </row>
    <row r="117" spans="2:11" ht="31.5" customHeight="1">
      <c r="B117" s="355">
        <v>72</v>
      </c>
      <c r="C117" s="415"/>
      <c r="D117" s="415"/>
      <c r="E117" s="357"/>
      <c r="F117" s="358"/>
      <c r="G117" s="358"/>
      <c r="H117" s="359"/>
      <c r="I117" s="359"/>
      <c r="J117" s="360"/>
      <c r="K117" s="360"/>
    </row>
    <row r="118" spans="2:11" ht="31.5" customHeight="1">
      <c r="B118" s="355">
        <v>73</v>
      </c>
      <c r="C118" s="415"/>
      <c r="D118" s="415"/>
      <c r="E118" s="357"/>
      <c r="F118" s="358"/>
      <c r="G118" s="358"/>
      <c r="H118" s="359"/>
      <c r="I118" s="359"/>
      <c r="J118" s="360"/>
      <c r="K118" s="360"/>
    </row>
    <row r="119" spans="2:11" ht="31.5" customHeight="1">
      <c r="B119" s="355">
        <v>74</v>
      </c>
      <c r="C119" s="415"/>
      <c r="D119" s="415"/>
      <c r="E119" s="357"/>
      <c r="F119" s="358"/>
      <c r="G119" s="358"/>
      <c r="H119" s="359"/>
      <c r="I119" s="359"/>
      <c r="J119" s="360"/>
      <c r="K119" s="360"/>
    </row>
    <row r="120" spans="2:11" ht="31.5" customHeight="1">
      <c r="B120" s="355">
        <v>75</v>
      </c>
      <c r="C120" s="415"/>
      <c r="D120" s="415"/>
      <c r="E120" s="357"/>
      <c r="F120" s="358"/>
      <c r="G120" s="358"/>
      <c r="H120" s="359"/>
      <c r="I120" s="359"/>
      <c r="J120" s="360"/>
      <c r="K120" s="360"/>
    </row>
    <row r="121" spans="2:11" ht="31.5" customHeight="1">
      <c r="B121" s="355">
        <v>76</v>
      </c>
      <c r="C121" s="415"/>
      <c r="D121" s="415"/>
      <c r="E121" s="357"/>
      <c r="F121" s="358"/>
      <c r="G121" s="358"/>
      <c r="H121" s="359"/>
      <c r="I121" s="359"/>
      <c r="J121" s="360"/>
      <c r="K121" s="360"/>
    </row>
    <row r="122" spans="2:11" ht="31.5" customHeight="1">
      <c r="B122" s="355">
        <v>77</v>
      </c>
      <c r="C122" s="415"/>
      <c r="D122" s="415"/>
      <c r="E122" s="357"/>
      <c r="F122" s="358"/>
      <c r="G122" s="358"/>
      <c r="H122" s="359"/>
      <c r="I122" s="359"/>
      <c r="J122" s="360"/>
      <c r="K122" s="360"/>
    </row>
    <row r="123" spans="2:11" ht="31.5" customHeight="1">
      <c r="B123" s="355">
        <v>78</v>
      </c>
      <c r="C123" s="356"/>
      <c r="D123" s="356"/>
      <c r="E123" s="357"/>
      <c r="F123" s="358"/>
      <c r="G123" s="358"/>
      <c r="H123" s="359"/>
      <c r="I123" s="359"/>
      <c r="J123" s="360"/>
      <c r="K123" s="360"/>
    </row>
    <row r="124" spans="2:11" ht="31.5" customHeight="1">
      <c r="B124" s="355">
        <v>79</v>
      </c>
      <c r="C124" s="356"/>
      <c r="D124" s="356"/>
      <c r="E124" s="357"/>
      <c r="F124" s="358"/>
      <c r="G124" s="358"/>
      <c r="H124" s="359"/>
      <c r="I124" s="359"/>
      <c r="J124" s="360"/>
      <c r="K124" s="360"/>
    </row>
    <row r="125" spans="2:11" ht="31.5" customHeight="1">
      <c r="B125" s="355">
        <v>80</v>
      </c>
      <c r="C125" s="356"/>
      <c r="D125" s="356"/>
      <c r="E125" s="357"/>
      <c r="F125" s="358"/>
      <c r="G125" s="358"/>
      <c r="H125" s="359"/>
      <c r="I125" s="359"/>
      <c r="J125" s="360"/>
      <c r="K125" s="360"/>
    </row>
    <row r="126" spans="2:11" ht="31.5" customHeight="1">
      <c r="B126" s="355">
        <v>81</v>
      </c>
      <c r="C126" s="356"/>
      <c r="D126" s="356"/>
      <c r="E126" s="357"/>
      <c r="F126" s="358"/>
      <c r="G126" s="358"/>
      <c r="H126" s="359"/>
      <c r="I126" s="359"/>
      <c r="J126" s="360"/>
      <c r="K126" s="360"/>
    </row>
    <row r="127" spans="2:11" ht="31.5" customHeight="1">
      <c r="B127" s="355">
        <v>82</v>
      </c>
      <c r="C127" s="356"/>
      <c r="D127" s="356"/>
      <c r="E127" s="357"/>
      <c r="F127" s="358"/>
      <c r="G127" s="358"/>
      <c r="H127" s="359"/>
      <c r="I127" s="359"/>
      <c r="J127" s="360"/>
      <c r="K127" s="360"/>
    </row>
    <row r="128" spans="2:11" ht="31.5" customHeight="1">
      <c r="B128" s="355">
        <v>83</v>
      </c>
      <c r="C128" s="356"/>
      <c r="D128" s="356"/>
      <c r="E128" s="357"/>
      <c r="F128" s="358"/>
      <c r="G128" s="358"/>
      <c r="H128" s="359"/>
      <c r="I128" s="359"/>
      <c r="J128" s="360"/>
      <c r="K128" s="360"/>
    </row>
    <row r="129" spans="2:11" ht="31.5" customHeight="1">
      <c r="B129" s="355">
        <v>84</v>
      </c>
      <c r="C129" s="356"/>
      <c r="D129" s="356"/>
      <c r="E129" s="357"/>
      <c r="F129" s="358"/>
      <c r="G129" s="358"/>
      <c r="H129" s="359"/>
      <c r="I129" s="359"/>
      <c r="J129" s="360"/>
      <c r="K129" s="360"/>
    </row>
    <row r="130" spans="2:11" ht="31.5" customHeight="1">
      <c r="B130" s="355">
        <v>85</v>
      </c>
      <c r="C130" s="356"/>
      <c r="D130" s="356"/>
      <c r="E130" s="357"/>
      <c r="F130" s="358"/>
      <c r="G130" s="358"/>
      <c r="H130" s="359"/>
      <c r="I130" s="359"/>
      <c r="J130" s="360"/>
      <c r="K130" s="360"/>
    </row>
    <row r="131" spans="2:11" ht="31.5" customHeight="1">
      <c r="B131" s="355">
        <v>86</v>
      </c>
      <c r="C131" s="356"/>
      <c r="D131" s="356"/>
      <c r="E131" s="357"/>
      <c r="F131" s="358"/>
      <c r="G131" s="358"/>
      <c r="H131" s="359"/>
      <c r="I131" s="359"/>
      <c r="J131" s="360"/>
      <c r="K131" s="360"/>
    </row>
    <row r="132" spans="2:11" ht="31.5" customHeight="1">
      <c r="B132" s="355">
        <v>87</v>
      </c>
      <c r="C132" s="356"/>
      <c r="D132" s="356"/>
      <c r="E132" s="357"/>
      <c r="F132" s="358"/>
      <c r="G132" s="358"/>
      <c r="H132" s="359"/>
      <c r="I132" s="359"/>
      <c r="J132" s="360"/>
      <c r="K132" s="360"/>
    </row>
    <row r="133" spans="2:11" ht="31.5" customHeight="1">
      <c r="B133" s="355">
        <v>88</v>
      </c>
      <c r="C133" s="356"/>
      <c r="D133" s="356"/>
      <c r="E133" s="357"/>
      <c r="F133" s="358"/>
      <c r="G133" s="358"/>
      <c r="H133" s="359"/>
      <c r="I133" s="359"/>
      <c r="J133" s="360"/>
      <c r="K133" s="360"/>
    </row>
    <row r="134" spans="2:11" ht="31.5" customHeight="1">
      <c r="B134" s="355">
        <v>89</v>
      </c>
      <c r="C134" s="356"/>
      <c r="D134" s="356"/>
      <c r="E134" s="357"/>
      <c r="F134" s="358"/>
      <c r="G134" s="358"/>
      <c r="H134" s="359"/>
      <c r="I134" s="359"/>
      <c r="J134" s="360"/>
      <c r="K134" s="360"/>
    </row>
    <row r="135" spans="2:11" ht="31.5" customHeight="1">
      <c r="B135" s="355">
        <v>90</v>
      </c>
      <c r="C135" s="356"/>
      <c r="D135" s="356"/>
      <c r="E135" s="357"/>
      <c r="F135" s="358"/>
      <c r="G135" s="358"/>
      <c r="H135" s="359"/>
      <c r="I135" s="359"/>
      <c r="J135" s="360"/>
      <c r="K135" s="360"/>
    </row>
    <row r="136" spans="2:11" ht="31.5" customHeight="1">
      <c r="B136" s="361">
        <v>91</v>
      </c>
      <c r="C136" s="356"/>
      <c r="D136" s="356"/>
      <c r="E136" s="357"/>
      <c r="F136" s="358"/>
      <c r="G136" s="358"/>
      <c r="H136" s="359"/>
      <c r="I136" s="359"/>
      <c r="J136" s="360"/>
      <c r="K136" s="360"/>
    </row>
    <row r="137" spans="2:11" ht="31.5" customHeight="1">
      <c r="B137" s="361">
        <v>92</v>
      </c>
      <c r="C137" s="356"/>
      <c r="D137" s="356"/>
      <c r="E137" s="357"/>
      <c r="F137" s="358"/>
      <c r="G137" s="358"/>
      <c r="H137" s="359"/>
      <c r="I137" s="359"/>
      <c r="J137" s="360"/>
      <c r="K137" s="360"/>
    </row>
    <row r="138" spans="2:11" ht="31.5" customHeight="1">
      <c r="B138" s="361">
        <v>93</v>
      </c>
      <c r="C138" s="356"/>
      <c r="D138" s="356"/>
      <c r="E138" s="357"/>
      <c r="F138" s="358"/>
      <c r="G138" s="358"/>
      <c r="H138" s="359"/>
      <c r="I138" s="359"/>
      <c r="J138" s="360"/>
      <c r="K138" s="360"/>
    </row>
    <row r="139" spans="2:11" ht="31.5" customHeight="1">
      <c r="B139" s="361">
        <v>94</v>
      </c>
      <c r="C139" s="356"/>
      <c r="D139" s="356"/>
      <c r="E139" s="357"/>
      <c r="F139" s="358"/>
      <c r="G139" s="358"/>
      <c r="H139" s="359"/>
      <c r="I139" s="359"/>
      <c r="J139" s="360"/>
      <c r="K139" s="360"/>
    </row>
    <row r="140" spans="2:11" ht="31.5" customHeight="1">
      <c r="B140" s="361">
        <v>95</v>
      </c>
      <c r="C140" s="356"/>
      <c r="D140" s="356"/>
      <c r="E140" s="357"/>
      <c r="F140" s="358"/>
      <c r="G140" s="358"/>
      <c r="H140" s="359"/>
      <c r="I140" s="359"/>
      <c r="J140" s="360"/>
      <c r="K140" s="360"/>
    </row>
    <row r="141" spans="2:11" ht="31.5" customHeight="1">
      <c r="B141" s="361">
        <v>96</v>
      </c>
      <c r="C141" s="356"/>
      <c r="D141" s="356"/>
      <c r="E141" s="357"/>
      <c r="F141" s="358"/>
      <c r="G141" s="358"/>
      <c r="H141" s="359"/>
      <c r="I141" s="359"/>
      <c r="J141" s="360"/>
      <c r="K141" s="360"/>
    </row>
    <row r="142" spans="2:11" ht="31.5" customHeight="1">
      <c r="B142" s="361">
        <v>97</v>
      </c>
      <c r="C142" s="356"/>
      <c r="D142" s="356"/>
      <c r="E142" s="357"/>
      <c r="F142" s="358"/>
      <c r="G142" s="358"/>
      <c r="H142" s="359"/>
      <c r="I142" s="359"/>
      <c r="J142" s="360"/>
      <c r="K142" s="360"/>
    </row>
    <row r="143" spans="2:11" ht="31.5" customHeight="1">
      <c r="B143" s="361">
        <v>98</v>
      </c>
      <c r="C143" s="356"/>
      <c r="D143" s="356"/>
      <c r="E143" s="357"/>
      <c r="F143" s="358"/>
      <c r="G143" s="358"/>
      <c r="H143" s="359"/>
      <c r="I143" s="359"/>
      <c r="J143" s="360"/>
      <c r="K143" s="360"/>
    </row>
    <row r="144" spans="2:11" ht="31.5" customHeight="1">
      <c r="B144" s="361">
        <v>99</v>
      </c>
      <c r="C144" s="356"/>
      <c r="D144" s="356"/>
      <c r="E144" s="357"/>
      <c r="F144" s="358"/>
      <c r="G144" s="358"/>
      <c r="H144" s="359"/>
      <c r="I144" s="359"/>
      <c r="J144" s="360"/>
      <c r="K144" s="360"/>
    </row>
    <row r="145" spans="2:11" ht="31.5" customHeight="1">
      <c r="B145" s="361">
        <v>100</v>
      </c>
      <c r="C145" s="356"/>
      <c r="D145" s="356"/>
      <c r="E145" s="357"/>
      <c r="F145" s="358"/>
      <c r="G145" s="358"/>
      <c r="H145" s="359"/>
      <c r="I145" s="359"/>
      <c r="J145" s="360"/>
      <c r="K145" s="360"/>
    </row>
    <row r="146" spans="2:11" ht="31.5" customHeight="1">
      <c r="B146" s="361">
        <v>101</v>
      </c>
      <c r="C146" s="356"/>
      <c r="D146" s="356"/>
      <c r="E146" s="357"/>
      <c r="F146" s="358"/>
      <c r="G146" s="358"/>
      <c r="H146" s="359"/>
      <c r="I146" s="359"/>
      <c r="J146" s="360"/>
      <c r="K146" s="360"/>
    </row>
    <row r="147" spans="2:11" ht="31.5" customHeight="1">
      <c r="B147" s="361">
        <v>102</v>
      </c>
      <c r="C147" s="356"/>
      <c r="D147" s="356"/>
      <c r="E147" s="357"/>
      <c r="F147" s="358"/>
      <c r="G147" s="358"/>
      <c r="H147" s="359"/>
      <c r="I147" s="359"/>
      <c r="J147" s="360"/>
      <c r="K147" s="360"/>
    </row>
    <row r="148" spans="2:11" ht="31.5" customHeight="1">
      <c r="B148" s="361">
        <v>103</v>
      </c>
      <c r="C148" s="356"/>
      <c r="D148" s="356"/>
      <c r="E148" s="357"/>
      <c r="F148" s="358"/>
      <c r="G148" s="358"/>
      <c r="H148" s="359"/>
      <c r="I148" s="359"/>
      <c r="J148" s="360"/>
      <c r="K148" s="360"/>
    </row>
    <row r="149" spans="2:11" ht="31.5" customHeight="1">
      <c r="B149" s="361">
        <v>104</v>
      </c>
      <c r="C149" s="356"/>
      <c r="D149" s="356"/>
      <c r="E149" s="357"/>
      <c r="F149" s="358"/>
      <c r="G149" s="358"/>
      <c r="H149" s="359"/>
      <c r="I149" s="359"/>
      <c r="J149" s="360"/>
      <c r="K149" s="360"/>
    </row>
    <row r="150" spans="2:11" ht="31.5" customHeight="1">
      <c r="B150" s="361">
        <v>105</v>
      </c>
      <c r="C150" s="356"/>
      <c r="D150" s="356"/>
      <c r="E150" s="357"/>
      <c r="F150" s="358"/>
      <c r="G150" s="358"/>
      <c r="H150" s="359"/>
      <c r="I150" s="359"/>
      <c r="J150" s="360"/>
      <c r="K150" s="360"/>
    </row>
    <row r="151" spans="2:11" ht="31.5" customHeight="1">
      <c r="B151" s="361">
        <v>106</v>
      </c>
      <c r="C151" s="356"/>
      <c r="D151" s="356"/>
      <c r="E151" s="357"/>
      <c r="F151" s="358"/>
      <c r="G151" s="358"/>
      <c r="H151" s="359"/>
      <c r="I151" s="359"/>
      <c r="J151" s="360"/>
      <c r="K151" s="360"/>
    </row>
    <row r="152" spans="2:11" ht="31.5" customHeight="1">
      <c r="B152" s="361">
        <v>107</v>
      </c>
      <c r="C152" s="356"/>
      <c r="D152" s="356"/>
      <c r="E152" s="357"/>
      <c r="F152" s="358"/>
      <c r="G152" s="358"/>
      <c r="H152" s="359"/>
      <c r="I152" s="359"/>
      <c r="J152" s="360"/>
      <c r="K152" s="360"/>
    </row>
    <row r="153" spans="2:11" ht="31.5" customHeight="1">
      <c r="B153" s="361">
        <v>108</v>
      </c>
      <c r="C153" s="356"/>
      <c r="D153" s="356"/>
      <c r="E153" s="357"/>
      <c r="F153" s="358"/>
      <c r="G153" s="358"/>
      <c r="H153" s="359"/>
      <c r="I153" s="359"/>
      <c r="J153" s="360"/>
      <c r="K153" s="360"/>
    </row>
    <row r="154" spans="2:11" ht="31.5" customHeight="1">
      <c r="B154" s="361">
        <v>109</v>
      </c>
      <c r="C154" s="356"/>
      <c r="D154" s="356"/>
      <c r="E154" s="357"/>
      <c r="F154" s="358"/>
      <c r="G154" s="358"/>
      <c r="H154" s="359"/>
      <c r="I154" s="359"/>
      <c r="J154" s="360"/>
      <c r="K154" s="360"/>
    </row>
    <row r="155" spans="2:11" ht="31.5" customHeight="1">
      <c r="B155" s="361">
        <v>110</v>
      </c>
      <c r="C155" s="356"/>
      <c r="D155" s="356"/>
      <c r="E155" s="357"/>
      <c r="F155" s="358"/>
      <c r="G155" s="358"/>
      <c r="H155" s="359"/>
      <c r="I155" s="359"/>
      <c r="J155" s="360"/>
      <c r="K155" s="360"/>
    </row>
    <row r="156" spans="2:11" ht="31.5" customHeight="1">
      <c r="B156" s="361">
        <v>111</v>
      </c>
      <c r="C156" s="356"/>
      <c r="D156" s="356"/>
      <c r="E156" s="357"/>
      <c r="F156" s="358"/>
      <c r="G156" s="358"/>
      <c r="H156" s="359"/>
      <c r="I156" s="359"/>
      <c r="J156" s="360"/>
      <c r="K156" s="360"/>
    </row>
    <row r="157" spans="2:11" ht="31.5" customHeight="1">
      <c r="B157" s="361">
        <v>112</v>
      </c>
      <c r="C157" s="356"/>
      <c r="D157" s="356"/>
      <c r="E157" s="357"/>
      <c r="F157" s="358"/>
      <c r="G157" s="358"/>
      <c r="H157" s="359"/>
      <c r="I157" s="359"/>
      <c r="J157" s="360"/>
      <c r="K157" s="360"/>
    </row>
    <row r="158" spans="2:11" ht="31.5" customHeight="1">
      <c r="B158" s="361">
        <v>113</v>
      </c>
      <c r="C158" s="356"/>
      <c r="D158" s="356"/>
      <c r="E158" s="357"/>
      <c r="F158" s="358"/>
      <c r="G158" s="358"/>
      <c r="H158" s="359"/>
      <c r="I158" s="359"/>
      <c r="J158" s="360"/>
      <c r="K158" s="360"/>
    </row>
    <row r="159" spans="2:11" ht="31.5" customHeight="1">
      <c r="B159" s="361">
        <v>114</v>
      </c>
      <c r="C159" s="356"/>
      <c r="D159" s="356"/>
      <c r="E159" s="357"/>
      <c r="F159" s="358"/>
      <c r="G159" s="358"/>
      <c r="H159" s="359"/>
      <c r="I159" s="359"/>
      <c r="J159" s="360"/>
      <c r="K159" s="360"/>
    </row>
    <row r="160" spans="2:11" ht="31.5" customHeight="1">
      <c r="B160" s="361">
        <v>115</v>
      </c>
      <c r="C160" s="356"/>
      <c r="D160" s="356"/>
      <c r="E160" s="357"/>
      <c r="F160" s="358"/>
      <c r="G160" s="358"/>
      <c r="H160" s="359"/>
      <c r="I160" s="359"/>
      <c r="J160" s="360"/>
      <c r="K160" s="360"/>
    </row>
    <row r="161" spans="2:11" ht="31.5" customHeight="1">
      <c r="B161" s="361">
        <v>116</v>
      </c>
      <c r="C161" s="356"/>
      <c r="D161" s="356"/>
      <c r="E161" s="357"/>
      <c r="F161" s="358"/>
      <c r="G161" s="358"/>
      <c r="H161" s="359"/>
      <c r="I161" s="359"/>
      <c r="J161" s="360"/>
      <c r="K161" s="360"/>
    </row>
    <row r="162" spans="2:11" ht="31.5" customHeight="1">
      <c r="B162" s="361">
        <v>117</v>
      </c>
      <c r="C162" s="356"/>
      <c r="D162" s="356"/>
      <c r="E162" s="357"/>
      <c r="F162" s="358"/>
      <c r="G162" s="358"/>
      <c r="H162" s="359"/>
      <c r="I162" s="359"/>
      <c r="J162" s="360"/>
      <c r="K162" s="360"/>
    </row>
    <row r="163" spans="2:11" ht="31.5" customHeight="1">
      <c r="B163" s="361">
        <v>118</v>
      </c>
      <c r="C163" s="356"/>
      <c r="D163" s="356"/>
      <c r="E163" s="357"/>
      <c r="F163" s="358"/>
      <c r="G163" s="358"/>
      <c r="H163" s="359"/>
      <c r="I163" s="359"/>
      <c r="J163" s="360"/>
      <c r="K163" s="360"/>
    </row>
    <row r="164" spans="2:11" ht="31.5" customHeight="1">
      <c r="B164" s="361">
        <v>119</v>
      </c>
      <c r="C164" s="356"/>
      <c r="D164" s="356"/>
      <c r="E164" s="357"/>
      <c r="F164" s="358"/>
      <c r="G164" s="358"/>
      <c r="H164" s="359"/>
      <c r="I164" s="359"/>
      <c r="J164" s="360"/>
      <c r="K164" s="360"/>
    </row>
    <row r="165" spans="2:11" ht="31.5" customHeight="1">
      <c r="B165" s="361">
        <v>120</v>
      </c>
      <c r="C165" s="356"/>
      <c r="D165" s="356"/>
      <c r="E165" s="357"/>
      <c r="F165" s="358"/>
      <c r="G165" s="358"/>
      <c r="H165" s="359"/>
      <c r="I165" s="359"/>
      <c r="J165" s="360"/>
      <c r="K165" s="360"/>
    </row>
    <row r="166" spans="2:11" ht="31.5" customHeight="1">
      <c r="B166" s="361">
        <v>121</v>
      </c>
      <c r="C166" s="356"/>
      <c r="D166" s="356"/>
      <c r="E166" s="357"/>
      <c r="F166" s="358"/>
      <c r="G166" s="358"/>
      <c r="H166" s="359"/>
      <c r="I166" s="359"/>
      <c r="J166" s="360"/>
      <c r="K166" s="360"/>
    </row>
    <row r="167" spans="2:11" ht="31.5" customHeight="1">
      <c r="B167" s="361">
        <v>122</v>
      </c>
      <c r="C167" s="356"/>
      <c r="D167" s="356"/>
      <c r="E167" s="357"/>
      <c r="F167" s="358"/>
      <c r="G167" s="358"/>
      <c r="H167" s="359"/>
      <c r="I167" s="359"/>
      <c r="J167" s="360"/>
      <c r="K167" s="360"/>
    </row>
    <row r="168" spans="2:11" ht="31.5" customHeight="1">
      <c r="B168" s="361">
        <v>123</v>
      </c>
      <c r="C168" s="356"/>
      <c r="D168" s="356"/>
      <c r="E168" s="357"/>
      <c r="F168" s="358"/>
      <c r="G168" s="358"/>
      <c r="H168" s="359"/>
      <c r="I168" s="359"/>
      <c r="J168" s="360"/>
      <c r="K168" s="360"/>
    </row>
    <row r="169" spans="2:11" ht="31.5" customHeight="1">
      <c r="B169" s="361">
        <v>124</v>
      </c>
      <c r="C169" s="356"/>
      <c r="D169" s="356"/>
      <c r="E169" s="357"/>
      <c r="F169" s="358"/>
      <c r="G169" s="358"/>
      <c r="H169" s="359"/>
      <c r="I169" s="359"/>
      <c r="J169" s="360"/>
      <c r="K169" s="360"/>
    </row>
    <row r="170" spans="2:11" ht="31.5" customHeight="1">
      <c r="B170" s="361">
        <v>125</v>
      </c>
      <c r="C170" s="356"/>
      <c r="D170" s="356"/>
      <c r="E170" s="357"/>
      <c r="F170" s="358"/>
      <c r="G170" s="358"/>
      <c r="H170" s="359"/>
      <c r="I170" s="359"/>
      <c r="J170" s="360"/>
      <c r="K170" s="360"/>
    </row>
    <row r="171" spans="2:11" ht="31.5" customHeight="1">
      <c r="B171" s="361">
        <v>126</v>
      </c>
      <c r="C171" s="356"/>
      <c r="D171" s="356"/>
      <c r="E171" s="357"/>
      <c r="F171" s="358"/>
      <c r="G171" s="358"/>
      <c r="H171" s="359"/>
      <c r="I171" s="359"/>
      <c r="J171" s="360"/>
      <c r="K171" s="360"/>
    </row>
    <row r="172" spans="2:11" ht="31.5" customHeight="1">
      <c r="B172" s="361"/>
      <c r="C172" s="356"/>
      <c r="D172" s="356"/>
      <c r="E172" s="357"/>
      <c r="F172" s="358"/>
      <c r="G172" s="358"/>
      <c r="H172" s="359"/>
      <c r="I172" s="359"/>
      <c r="J172" s="360"/>
      <c r="K172" s="360"/>
    </row>
    <row r="173" spans="2:11" ht="31.5" customHeight="1">
      <c r="B173" s="361">
        <v>127</v>
      </c>
      <c r="C173" s="356"/>
      <c r="D173" s="356"/>
      <c r="E173" s="357"/>
      <c r="F173" s="358"/>
      <c r="G173" s="358"/>
      <c r="H173" s="359"/>
      <c r="I173" s="359"/>
      <c r="J173" s="360"/>
      <c r="K173" s="360"/>
    </row>
    <row r="174" spans="2:11" ht="31.5" customHeight="1">
      <c r="B174" s="361">
        <v>128</v>
      </c>
      <c r="C174" s="356"/>
      <c r="D174" s="356"/>
      <c r="E174" s="357"/>
      <c r="F174" s="358"/>
      <c r="G174" s="358"/>
      <c r="H174" s="359"/>
      <c r="I174" s="359"/>
      <c r="J174" s="360"/>
      <c r="K174" s="360"/>
    </row>
    <row r="175" spans="2:11" ht="31.5" customHeight="1">
      <c r="B175" s="361">
        <v>129</v>
      </c>
      <c r="C175" s="356"/>
      <c r="D175" s="356"/>
      <c r="E175" s="357"/>
      <c r="F175" s="358"/>
      <c r="G175" s="358"/>
      <c r="H175" s="359"/>
      <c r="I175" s="359"/>
      <c r="J175" s="360"/>
      <c r="K175" s="360"/>
    </row>
    <row r="176" spans="2:11" ht="31.5" customHeight="1">
      <c r="B176" s="361">
        <v>130</v>
      </c>
      <c r="C176" s="356"/>
      <c r="D176" s="356"/>
      <c r="E176" s="357"/>
      <c r="F176" s="358"/>
      <c r="G176" s="358"/>
      <c r="H176" s="359"/>
      <c r="I176" s="359"/>
      <c r="J176" s="360"/>
      <c r="K176" s="360"/>
    </row>
    <row r="177" spans="2:11" ht="31.5" customHeight="1">
      <c r="B177" s="361">
        <v>131</v>
      </c>
      <c r="C177" s="356"/>
      <c r="D177" s="356"/>
      <c r="E177" s="357"/>
      <c r="F177" s="358"/>
      <c r="G177" s="358"/>
      <c r="H177" s="359"/>
      <c r="I177" s="359"/>
      <c r="J177" s="360"/>
      <c r="K177" s="360"/>
    </row>
    <row r="178" spans="2:11" ht="31.5" customHeight="1">
      <c r="B178" s="361">
        <v>132</v>
      </c>
      <c r="C178" s="356"/>
      <c r="D178" s="356"/>
      <c r="E178" s="357"/>
      <c r="F178" s="358"/>
      <c r="G178" s="358"/>
      <c r="H178" s="359"/>
      <c r="I178" s="359"/>
      <c r="J178" s="360"/>
      <c r="K178" s="360"/>
    </row>
    <row r="179" spans="2:11" ht="31.5" customHeight="1">
      <c r="B179" s="361">
        <v>133</v>
      </c>
      <c r="C179" s="356"/>
      <c r="D179" s="356"/>
      <c r="E179" s="357"/>
      <c r="F179" s="358"/>
      <c r="G179" s="358"/>
      <c r="H179" s="359"/>
      <c r="I179" s="359"/>
      <c r="J179" s="360"/>
      <c r="K179" s="360"/>
    </row>
    <row r="180" spans="2:11" ht="31.5" customHeight="1">
      <c r="B180" s="361">
        <v>134</v>
      </c>
      <c r="C180" s="356"/>
      <c r="D180" s="356"/>
      <c r="E180" s="357"/>
      <c r="F180" s="358"/>
      <c r="G180" s="358"/>
      <c r="H180" s="359"/>
      <c r="I180" s="359"/>
      <c r="J180" s="360"/>
      <c r="K180" s="360"/>
    </row>
    <row r="181" spans="2:11" ht="31.5" customHeight="1">
      <c r="B181" s="361">
        <v>135</v>
      </c>
      <c r="C181" s="356"/>
      <c r="D181" s="356"/>
      <c r="E181" s="357"/>
      <c r="F181" s="358"/>
      <c r="G181" s="358"/>
      <c r="H181" s="359"/>
      <c r="I181" s="359"/>
      <c r="J181" s="360"/>
      <c r="K181" s="360"/>
    </row>
    <row r="182" spans="2:11" ht="31.5" customHeight="1">
      <c r="B182" s="361">
        <v>136</v>
      </c>
      <c r="C182" s="356"/>
      <c r="D182" s="356"/>
      <c r="E182" s="357"/>
      <c r="F182" s="358"/>
      <c r="G182" s="358"/>
      <c r="H182" s="359"/>
      <c r="I182" s="359"/>
      <c r="J182" s="360"/>
      <c r="K182" s="360"/>
    </row>
    <row r="183" spans="2:11" ht="31.5" customHeight="1">
      <c r="B183" s="361">
        <v>137</v>
      </c>
      <c r="C183" s="356"/>
      <c r="D183" s="356"/>
      <c r="E183" s="357"/>
      <c r="F183" s="358"/>
      <c r="G183" s="358"/>
      <c r="H183" s="359"/>
      <c r="I183" s="359"/>
      <c r="J183" s="360"/>
      <c r="K183" s="360"/>
    </row>
    <row r="184" spans="2:11" ht="31.5" customHeight="1">
      <c r="B184" s="361">
        <v>138</v>
      </c>
      <c r="C184" s="356"/>
      <c r="D184" s="356"/>
      <c r="E184" s="357"/>
      <c r="F184" s="358"/>
      <c r="G184" s="358"/>
      <c r="H184" s="359"/>
      <c r="I184" s="359"/>
      <c r="J184" s="360"/>
      <c r="K184" s="360"/>
    </row>
    <row r="185" spans="2:11" ht="31.5" customHeight="1">
      <c r="B185" s="361">
        <v>139</v>
      </c>
      <c r="C185" s="356"/>
      <c r="D185" s="356"/>
      <c r="E185" s="357"/>
      <c r="F185" s="358"/>
      <c r="G185" s="358"/>
      <c r="H185" s="359"/>
      <c r="I185" s="359"/>
      <c r="J185" s="360"/>
      <c r="K185" s="360"/>
    </row>
    <row r="186" spans="2:11" ht="31.5" customHeight="1">
      <c r="B186" s="361">
        <v>140</v>
      </c>
      <c r="C186" s="356"/>
      <c r="D186" s="356"/>
      <c r="E186" s="357"/>
      <c r="F186" s="358"/>
      <c r="G186" s="358"/>
      <c r="H186" s="359"/>
      <c r="I186" s="359"/>
      <c r="J186" s="360"/>
      <c r="K186" s="360"/>
    </row>
    <row r="187" spans="2:11" ht="31.5" customHeight="1">
      <c r="B187" s="361">
        <v>141</v>
      </c>
      <c r="C187" s="356"/>
      <c r="D187" s="356"/>
      <c r="E187" s="357"/>
      <c r="F187" s="358"/>
      <c r="G187" s="358"/>
      <c r="H187" s="359"/>
      <c r="I187" s="359"/>
      <c r="J187" s="360"/>
      <c r="K187" s="360"/>
    </row>
    <row r="188" spans="2:11" ht="31.5" customHeight="1">
      <c r="B188" s="361">
        <v>142</v>
      </c>
      <c r="C188" s="356"/>
      <c r="D188" s="356"/>
      <c r="E188" s="357"/>
      <c r="F188" s="358"/>
      <c r="G188" s="358"/>
      <c r="H188" s="359"/>
      <c r="I188" s="359"/>
      <c r="J188" s="360"/>
      <c r="K188" s="360"/>
    </row>
    <row r="189" spans="2:11" ht="31.5" customHeight="1">
      <c r="B189" s="361">
        <v>143</v>
      </c>
      <c r="C189" s="356"/>
      <c r="D189" s="356"/>
      <c r="E189" s="357"/>
      <c r="F189" s="358"/>
      <c r="G189" s="358"/>
      <c r="H189" s="359"/>
      <c r="I189" s="359"/>
      <c r="J189" s="360"/>
      <c r="K189" s="360"/>
    </row>
    <row r="190" spans="2:11" ht="31.5" customHeight="1">
      <c r="B190" s="361">
        <v>144</v>
      </c>
      <c r="C190" s="356"/>
      <c r="D190" s="356"/>
      <c r="E190" s="357"/>
      <c r="F190" s="358"/>
      <c r="G190" s="358"/>
      <c r="H190" s="359"/>
      <c r="I190" s="359"/>
      <c r="J190" s="360"/>
      <c r="K190" s="360"/>
    </row>
    <row r="191" spans="2:11" ht="31.5" customHeight="1">
      <c r="B191" s="361">
        <v>145</v>
      </c>
      <c r="C191" s="356"/>
      <c r="D191" s="356"/>
      <c r="E191" s="357"/>
      <c r="F191" s="358"/>
      <c r="G191" s="358"/>
      <c r="H191" s="359"/>
      <c r="I191" s="359"/>
      <c r="J191" s="360"/>
      <c r="K191" s="360"/>
    </row>
    <row r="192" spans="2:11" ht="31.5" customHeight="1">
      <c r="B192" s="361">
        <v>146</v>
      </c>
      <c r="C192" s="356"/>
      <c r="D192" s="356"/>
      <c r="E192" s="357"/>
      <c r="F192" s="358"/>
      <c r="G192" s="358"/>
      <c r="H192" s="359"/>
      <c r="I192" s="359"/>
      <c r="J192" s="360"/>
      <c r="K192" s="360"/>
    </row>
    <row r="193" spans="2:11" ht="31.5" customHeight="1">
      <c r="B193" s="361">
        <v>147</v>
      </c>
      <c r="C193" s="356"/>
      <c r="D193" s="356"/>
      <c r="E193" s="357"/>
      <c r="F193" s="358"/>
      <c r="G193" s="358"/>
      <c r="H193" s="359"/>
      <c r="I193" s="359"/>
      <c r="J193" s="360"/>
      <c r="K193" s="360"/>
    </row>
    <row r="194" spans="2:11" ht="31.5" customHeight="1">
      <c r="B194" s="361">
        <v>148</v>
      </c>
      <c r="C194" s="356"/>
      <c r="D194" s="356"/>
      <c r="E194" s="357"/>
      <c r="F194" s="358"/>
      <c r="G194" s="358"/>
      <c r="H194" s="359"/>
      <c r="I194" s="359"/>
      <c r="J194" s="360"/>
      <c r="K194" s="360"/>
    </row>
    <row r="195" spans="2:11" ht="31.5" customHeight="1">
      <c r="B195" s="361">
        <v>149</v>
      </c>
      <c r="C195" s="356"/>
      <c r="D195" s="356"/>
      <c r="E195" s="357"/>
      <c r="F195" s="358"/>
      <c r="G195" s="358"/>
      <c r="H195" s="359"/>
      <c r="I195" s="359"/>
      <c r="J195" s="360"/>
      <c r="K195" s="360"/>
    </row>
    <row r="196" spans="2:11" ht="31.5" customHeight="1">
      <c r="B196" s="361">
        <v>150</v>
      </c>
      <c r="C196" s="356"/>
      <c r="D196" s="356"/>
      <c r="E196" s="357"/>
      <c r="F196" s="358"/>
      <c r="G196" s="358"/>
      <c r="H196" s="359"/>
      <c r="I196" s="359"/>
      <c r="J196" s="360"/>
      <c r="K196" s="360"/>
    </row>
    <row r="197" spans="2:11" ht="31.5" customHeight="1">
      <c r="B197" s="361">
        <v>151</v>
      </c>
      <c r="C197" s="356"/>
      <c r="D197" s="356"/>
      <c r="E197" s="357"/>
      <c r="F197" s="358"/>
      <c r="G197" s="358"/>
      <c r="H197" s="359"/>
      <c r="I197" s="359"/>
      <c r="J197" s="360"/>
      <c r="K197" s="360"/>
    </row>
    <row r="198" spans="2:11" ht="31.5" customHeight="1">
      <c r="B198" s="361">
        <v>152</v>
      </c>
      <c r="C198" s="356"/>
      <c r="D198" s="356"/>
      <c r="E198" s="357"/>
      <c r="F198" s="358"/>
      <c r="G198" s="358"/>
      <c r="H198" s="359"/>
      <c r="I198" s="359"/>
      <c r="J198" s="360"/>
      <c r="K198" s="360"/>
    </row>
    <row r="199" spans="2:11" ht="31.5" customHeight="1">
      <c r="B199" s="361">
        <v>153</v>
      </c>
      <c r="C199" s="356"/>
      <c r="D199" s="356"/>
      <c r="E199" s="357"/>
      <c r="F199" s="358"/>
      <c r="G199" s="358"/>
      <c r="H199" s="359"/>
      <c r="I199" s="359"/>
      <c r="J199" s="360"/>
      <c r="K199" s="360"/>
    </row>
    <row r="200" spans="2:11" ht="31.5" customHeight="1">
      <c r="B200" s="361">
        <v>154</v>
      </c>
      <c r="C200" s="356"/>
      <c r="D200" s="356"/>
      <c r="E200" s="357"/>
      <c r="F200" s="358"/>
      <c r="G200" s="358"/>
      <c r="H200" s="359"/>
      <c r="I200" s="359"/>
      <c r="J200" s="360"/>
      <c r="K200" s="360"/>
    </row>
    <row r="201" spans="2:11" ht="31.5" customHeight="1">
      <c r="B201" s="361">
        <v>155</v>
      </c>
      <c r="C201" s="356"/>
      <c r="D201" s="356"/>
      <c r="E201" s="357"/>
      <c r="F201" s="362"/>
      <c r="G201" s="362"/>
      <c r="H201" s="359"/>
      <c r="I201" s="359"/>
      <c r="J201" s="360"/>
      <c r="K201" s="360"/>
    </row>
    <row r="202" spans="2:11" ht="31.5" customHeight="1">
      <c r="B202" s="361">
        <v>156</v>
      </c>
      <c r="C202" s="350"/>
      <c r="D202" s="350"/>
      <c r="E202" s="363"/>
      <c r="F202" s="358"/>
      <c r="G202" s="358"/>
      <c r="H202" s="180"/>
      <c r="I202" s="180"/>
      <c r="J202" s="360"/>
      <c r="K202" s="360"/>
    </row>
    <row r="203" spans="2:11" ht="31.5" customHeight="1">
      <c r="B203" s="361">
        <v>157</v>
      </c>
      <c r="C203" s="356"/>
      <c r="D203" s="356"/>
      <c r="E203" s="363"/>
      <c r="F203" s="358"/>
      <c r="G203" s="358"/>
      <c r="H203" s="180"/>
      <c r="I203" s="180"/>
      <c r="J203" s="360"/>
      <c r="K203" s="360"/>
    </row>
    <row r="204" spans="2:11" ht="31.5" customHeight="1">
      <c r="B204" s="361">
        <v>158</v>
      </c>
      <c r="C204" s="356"/>
      <c r="D204" s="356"/>
      <c r="E204" s="364"/>
      <c r="F204" s="365"/>
      <c r="G204" s="366"/>
      <c r="H204" s="367"/>
      <c r="I204" s="367"/>
      <c r="J204" s="360"/>
      <c r="K204" s="360"/>
    </row>
    <row r="205" spans="2:11" ht="31.5" customHeight="1">
      <c r="B205" s="361">
        <v>159</v>
      </c>
      <c r="C205" s="356"/>
      <c r="D205" s="356"/>
      <c r="E205" s="364"/>
      <c r="F205" s="365"/>
      <c r="G205" s="366"/>
      <c r="H205" s="367"/>
      <c r="I205" s="367"/>
      <c r="J205" s="360"/>
      <c r="K205" s="360"/>
    </row>
    <row r="206" spans="2:11" ht="31.5" customHeight="1">
      <c r="B206" s="361">
        <v>160</v>
      </c>
      <c r="C206" s="356"/>
      <c r="D206" s="356"/>
      <c r="E206" s="364"/>
      <c r="F206" s="365"/>
      <c r="G206" s="366"/>
      <c r="H206" s="367"/>
      <c r="I206" s="367"/>
      <c r="J206" s="360"/>
      <c r="K206" s="360"/>
    </row>
    <row r="207" spans="2:11" ht="31.5" customHeight="1">
      <c r="B207" s="361">
        <v>161</v>
      </c>
      <c r="C207" s="356"/>
      <c r="D207" s="356"/>
      <c r="E207" s="357"/>
      <c r="F207" s="366"/>
      <c r="G207" s="366"/>
      <c r="H207" s="367"/>
      <c r="I207" s="367"/>
      <c r="J207" s="360"/>
      <c r="K207" s="360"/>
    </row>
    <row r="208" spans="2:11" ht="31.5" customHeight="1">
      <c r="B208" s="361">
        <v>162</v>
      </c>
      <c r="C208" s="356"/>
      <c r="D208" s="356"/>
      <c r="E208" s="357"/>
      <c r="F208" s="366"/>
      <c r="G208" s="366"/>
      <c r="H208" s="367"/>
      <c r="I208" s="367"/>
      <c r="J208" s="360"/>
      <c r="K208" s="360"/>
    </row>
    <row r="209" spans="2:11" ht="31.5" customHeight="1">
      <c r="B209" s="361">
        <v>163</v>
      </c>
      <c r="C209" s="356"/>
      <c r="D209" s="356"/>
      <c r="E209" s="364"/>
      <c r="F209" s="365"/>
      <c r="G209" s="366"/>
      <c r="H209" s="367"/>
      <c r="I209" s="367"/>
      <c r="J209" s="360"/>
      <c r="K209" s="360"/>
    </row>
    <row r="210" spans="2:11" ht="31.5" customHeight="1">
      <c r="B210" s="361">
        <v>164</v>
      </c>
      <c r="C210" s="356"/>
      <c r="D210" s="356"/>
      <c r="E210" s="364"/>
      <c r="F210" s="365"/>
      <c r="G210" s="366"/>
      <c r="H210" s="367"/>
      <c r="I210" s="367"/>
      <c r="J210" s="360"/>
      <c r="K210" s="360"/>
    </row>
    <row r="211" spans="2:11" ht="31.5" customHeight="1">
      <c r="B211" s="361">
        <v>165</v>
      </c>
      <c r="C211" s="356"/>
      <c r="D211" s="356"/>
      <c r="E211" s="364"/>
      <c r="F211" s="365"/>
      <c r="G211" s="366"/>
      <c r="H211" s="367"/>
      <c r="I211" s="367"/>
      <c r="J211" s="360"/>
      <c r="K211" s="360"/>
    </row>
    <row r="212" spans="2:11" ht="31.5" customHeight="1">
      <c r="B212" s="361">
        <v>166</v>
      </c>
      <c r="C212" s="356"/>
      <c r="D212" s="356"/>
      <c r="E212" s="364"/>
      <c r="F212" s="365"/>
      <c r="G212" s="366"/>
      <c r="H212" s="367"/>
      <c r="I212" s="367"/>
      <c r="J212" s="360"/>
      <c r="K212" s="360"/>
    </row>
    <row r="213" spans="2:11" ht="31.5" customHeight="1">
      <c r="B213" s="361">
        <v>167</v>
      </c>
      <c r="C213" s="356"/>
      <c r="D213" s="356"/>
      <c r="E213" s="364"/>
      <c r="F213" s="365"/>
      <c r="G213" s="366"/>
      <c r="H213" s="367"/>
      <c r="I213" s="367"/>
      <c r="J213" s="360"/>
      <c r="K213" s="360"/>
    </row>
    <row r="214" spans="2:11" ht="31.5" customHeight="1">
      <c r="B214" s="361">
        <v>168</v>
      </c>
      <c r="C214" s="356"/>
      <c r="D214" s="356"/>
      <c r="E214" s="364"/>
      <c r="F214" s="365"/>
      <c r="G214" s="366"/>
      <c r="H214" s="367"/>
      <c r="I214" s="367"/>
      <c r="J214" s="360"/>
      <c r="K214" s="360"/>
    </row>
    <row r="215" spans="2:11" ht="31.5" customHeight="1">
      <c r="B215" s="361">
        <v>169</v>
      </c>
      <c r="C215" s="356"/>
      <c r="D215" s="356"/>
      <c r="E215" s="364"/>
      <c r="F215" s="365"/>
      <c r="G215" s="366"/>
      <c r="H215" s="367"/>
      <c r="I215" s="367"/>
      <c r="J215" s="360"/>
      <c r="K215" s="360"/>
    </row>
    <row r="216" spans="2:11" ht="31.5" customHeight="1">
      <c r="B216" s="361">
        <v>170</v>
      </c>
      <c r="C216" s="356"/>
      <c r="D216" s="356"/>
      <c r="E216" s="364"/>
      <c r="F216" s="365"/>
      <c r="G216" s="366"/>
      <c r="H216" s="367"/>
      <c r="I216" s="367"/>
      <c r="J216" s="360"/>
      <c r="K216" s="360"/>
    </row>
    <row r="217" spans="2:11" ht="31.5" customHeight="1">
      <c r="B217" s="361">
        <v>171</v>
      </c>
      <c r="C217" s="356"/>
      <c r="D217" s="356"/>
      <c r="E217" s="364"/>
      <c r="F217" s="365"/>
      <c r="G217" s="366"/>
      <c r="H217" s="367"/>
      <c r="I217" s="367"/>
      <c r="J217" s="360"/>
      <c r="K217" s="360"/>
    </row>
    <row r="218" spans="2:11" ht="31.5" customHeight="1">
      <c r="B218" s="361">
        <v>172</v>
      </c>
      <c r="C218" s="356"/>
      <c r="D218" s="356"/>
      <c r="E218" s="364"/>
      <c r="F218" s="365"/>
      <c r="G218" s="366"/>
      <c r="H218" s="367"/>
      <c r="I218" s="367"/>
      <c r="J218" s="360"/>
      <c r="K218" s="360"/>
    </row>
    <row r="219" spans="2:11" ht="31.5" customHeight="1">
      <c r="B219" s="361">
        <v>173</v>
      </c>
      <c r="C219" s="356"/>
      <c r="D219" s="356"/>
      <c r="E219" s="364"/>
      <c r="F219" s="365"/>
      <c r="G219" s="366"/>
      <c r="H219" s="367"/>
      <c r="I219" s="367"/>
      <c r="J219" s="360"/>
      <c r="K219" s="360"/>
    </row>
    <row r="220" spans="2:11" ht="31.5" customHeight="1">
      <c r="B220" s="361">
        <v>174</v>
      </c>
      <c r="C220" s="356"/>
      <c r="D220" s="356"/>
      <c r="E220" s="364"/>
      <c r="F220" s="365"/>
      <c r="G220" s="366"/>
      <c r="H220" s="367"/>
      <c r="I220" s="367"/>
      <c r="J220" s="360"/>
      <c r="K220" s="360"/>
    </row>
    <row r="221" spans="2:11" ht="31.5" customHeight="1">
      <c r="B221" s="361">
        <v>175</v>
      </c>
      <c r="C221" s="356"/>
      <c r="D221" s="356"/>
      <c r="E221" s="364"/>
      <c r="F221" s="365"/>
      <c r="G221" s="366"/>
      <c r="H221" s="367"/>
      <c r="I221" s="367"/>
      <c r="J221" s="360"/>
      <c r="K221" s="360"/>
    </row>
    <row r="222" spans="2:11" ht="31.5" customHeight="1">
      <c r="B222" s="361">
        <v>176</v>
      </c>
      <c r="C222" s="356"/>
      <c r="D222" s="356"/>
      <c r="E222" s="364"/>
      <c r="F222" s="365"/>
      <c r="G222" s="366"/>
      <c r="H222" s="367"/>
      <c r="I222" s="367"/>
      <c r="J222" s="360"/>
      <c r="K222" s="360"/>
    </row>
    <row r="223" spans="2:11" ht="31.5" customHeight="1">
      <c r="B223" s="361">
        <v>177</v>
      </c>
      <c r="C223" s="356"/>
      <c r="D223" s="356"/>
      <c r="E223" s="364"/>
      <c r="F223" s="365"/>
      <c r="G223" s="366"/>
      <c r="H223" s="367"/>
      <c r="I223" s="367"/>
      <c r="J223" s="360"/>
      <c r="K223" s="360"/>
    </row>
    <row r="224" spans="2:11" ht="31.5" customHeight="1">
      <c r="B224" s="361">
        <v>178</v>
      </c>
      <c r="C224" s="356"/>
      <c r="D224" s="356"/>
      <c r="E224" s="364"/>
      <c r="F224" s="365"/>
      <c r="G224" s="366"/>
      <c r="H224" s="367"/>
      <c r="I224" s="367"/>
      <c r="J224" s="360"/>
      <c r="K224" s="360"/>
    </row>
    <row r="225" spans="2:11" ht="31.5" customHeight="1">
      <c r="B225" s="361">
        <v>179</v>
      </c>
      <c r="C225" s="356"/>
      <c r="D225" s="356"/>
      <c r="E225" s="364"/>
      <c r="F225" s="365"/>
      <c r="G225" s="366"/>
      <c r="H225" s="367"/>
      <c r="I225" s="367"/>
      <c r="J225" s="367"/>
      <c r="K225" s="367"/>
    </row>
    <row r="226" spans="2:11" ht="31.5" customHeight="1">
      <c r="B226" s="361">
        <v>180</v>
      </c>
      <c r="C226" s="356"/>
      <c r="D226" s="356"/>
      <c r="E226" s="364"/>
      <c r="F226" s="365"/>
      <c r="G226" s="366"/>
      <c r="H226" s="367"/>
      <c r="I226" s="367"/>
      <c r="J226" s="367"/>
      <c r="K226" s="367"/>
    </row>
    <row r="227" spans="2:11" ht="31.5" customHeight="1">
      <c r="B227" s="361">
        <v>181</v>
      </c>
      <c r="C227" s="356"/>
      <c r="D227" s="356"/>
      <c r="E227" s="364"/>
      <c r="F227" s="365"/>
      <c r="G227" s="366"/>
      <c r="H227" s="367"/>
      <c r="I227" s="367"/>
      <c r="J227" s="360"/>
      <c r="K227" s="360"/>
    </row>
    <row r="228" spans="2:11" ht="31.5" customHeight="1">
      <c r="B228" s="361">
        <v>182</v>
      </c>
      <c r="C228" s="356"/>
      <c r="D228" s="356"/>
      <c r="E228" s="364"/>
      <c r="F228" s="365"/>
      <c r="G228" s="366"/>
      <c r="H228" s="367"/>
      <c r="I228" s="367"/>
      <c r="J228" s="360"/>
      <c r="K228" s="360"/>
    </row>
    <row r="229" spans="2:11" ht="31.5" customHeight="1">
      <c r="B229" s="361">
        <v>183</v>
      </c>
      <c r="C229" s="356"/>
      <c r="D229" s="356"/>
      <c r="E229" s="364"/>
      <c r="F229" s="365"/>
      <c r="G229" s="366"/>
      <c r="H229" s="367"/>
      <c r="I229" s="367"/>
      <c r="J229" s="360"/>
      <c r="K229" s="360"/>
    </row>
    <row r="230" spans="2:11" ht="31.5" customHeight="1">
      <c r="B230" s="361">
        <v>184</v>
      </c>
      <c r="C230" s="356"/>
      <c r="D230" s="356"/>
      <c r="E230" s="364"/>
      <c r="F230" s="365"/>
      <c r="G230" s="366"/>
      <c r="H230" s="367"/>
      <c r="I230" s="367"/>
      <c r="J230" s="360"/>
      <c r="K230" s="360"/>
    </row>
    <row r="231" spans="2:11" ht="31.5" customHeight="1">
      <c r="B231" s="361">
        <v>185</v>
      </c>
      <c r="C231" s="356"/>
      <c r="D231" s="356"/>
      <c r="E231" s="364"/>
      <c r="F231" s="365"/>
      <c r="G231" s="366"/>
      <c r="H231" s="367"/>
      <c r="I231" s="367"/>
      <c r="J231" s="360"/>
      <c r="K231" s="360"/>
    </row>
    <row r="232" spans="2:11" ht="31.5" customHeight="1">
      <c r="B232" s="361">
        <v>186</v>
      </c>
      <c r="C232" s="356"/>
      <c r="D232" s="356"/>
      <c r="E232" s="363"/>
      <c r="F232" s="352"/>
      <c r="G232" s="352"/>
      <c r="H232" s="180"/>
      <c r="I232" s="180"/>
      <c r="J232" s="360"/>
      <c r="K232" s="360"/>
    </row>
    <row r="233" spans="2:11" ht="31.5" customHeight="1">
      <c r="B233" s="361">
        <v>187</v>
      </c>
      <c r="C233" s="356"/>
      <c r="D233" s="356"/>
      <c r="E233" s="364"/>
      <c r="F233" s="365"/>
      <c r="G233" s="366"/>
      <c r="H233" s="367"/>
      <c r="I233" s="367"/>
      <c r="J233" s="360"/>
      <c r="K233" s="360"/>
    </row>
    <row r="234" spans="2:11" ht="31.5" customHeight="1">
      <c r="B234" s="361">
        <v>188</v>
      </c>
      <c r="C234" s="356"/>
      <c r="D234" s="356"/>
      <c r="E234" s="364"/>
      <c r="F234" s="365"/>
      <c r="G234" s="366"/>
      <c r="H234" s="367"/>
      <c r="I234" s="367"/>
      <c r="J234" s="360"/>
      <c r="K234" s="360"/>
    </row>
    <row r="235" spans="2:11" ht="31.5" customHeight="1">
      <c r="B235" s="361">
        <v>189</v>
      </c>
      <c r="C235" s="356"/>
      <c r="D235" s="356"/>
      <c r="E235" s="364"/>
      <c r="F235" s="365"/>
      <c r="G235" s="366"/>
      <c r="H235" s="367"/>
      <c r="I235" s="367"/>
      <c r="J235" s="360"/>
      <c r="K235" s="360"/>
    </row>
    <row r="236" spans="2:11" ht="31.5" customHeight="1">
      <c r="B236" s="361">
        <v>190</v>
      </c>
      <c r="C236" s="356"/>
      <c r="D236" s="356"/>
      <c r="E236" s="364"/>
      <c r="F236" s="365"/>
      <c r="G236" s="366"/>
      <c r="H236" s="367"/>
      <c r="I236" s="367"/>
      <c r="J236" s="360"/>
      <c r="K236" s="360"/>
    </row>
    <row r="237" spans="2:11" ht="48.75" customHeight="1">
      <c r="B237" s="361">
        <v>191</v>
      </c>
      <c r="C237" s="356"/>
      <c r="D237" s="356"/>
      <c r="E237" s="364"/>
      <c r="F237" s="365"/>
      <c r="G237" s="366"/>
      <c r="H237" s="367"/>
      <c r="I237" s="367"/>
      <c r="J237" s="360"/>
      <c r="K237" s="360"/>
    </row>
    <row r="238" spans="2:11" ht="31.5" customHeight="1">
      <c r="B238" s="361">
        <v>192</v>
      </c>
      <c r="C238" s="356"/>
      <c r="D238" s="356"/>
      <c r="E238" s="364"/>
      <c r="F238" s="368"/>
      <c r="G238" s="366"/>
      <c r="H238" s="367"/>
      <c r="I238" s="367"/>
      <c r="J238" s="360"/>
      <c r="K238" s="360"/>
    </row>
    <row r="239" spans="2:11" ht="31.5" customHeight="1">
      <c r="B239" s="369">
        <v>193</v>
      </c>
      <c r="C239" s="356"/>
      <c r="D239" s="356"/>
      <c r="E239" s="364"/>
      <c r="F239" s="368"/>
      <c r="G239" s="366"/>
      <c r="H239" s="367"/>
      <c r="I239" s="367"/>
      <c r="J239" s="360"/>
      <c r="K239" s="360"/>
    </row>
    <row r="240" spans="2:11" ht="31.5" customHeight="1">
      <c r="B240" s="369">
        <v>194</v>
      </c>
      <c r="C240" s="356"/>
      <c r="D240" s="356"/>
      <c r="E240" s="363"/>
      <c r="F240" s="370"/>
      <c r="G240" s="358"/>
      <c r="H240" s="180"/>
      <c r="I240" s="180"/>
      <c r="J240" s="360"/>
      <c r="K240" s="360"/>
    </row>
    <row r="241" spans="2:11" ht="31.5" customHeight="1">
      <c r="B241" s="369">
        <v>195</v>
      </c>
      <c r="C241" s="350"/>
      <c r="D241" s="350"/>
      <c r="E241" s="363"/>
      <c r="F241" s="352"/>
      <c r="G241" s="352"/>
      <c r="H241" s="180"/>
      <c r="I241" s="180"/>
      <c r="J241" s="360"/>
      <c r="K241" s="360"/>
    </row>
    <row r="242" spans="2:11" ht="31.5" customHeight="1">
      <c r="B242" s="369">
        <v>196</v>
      </c>
      <c r="C242" s="356"/>
      <c r="D242" s="356"/>
      <c r="E242" s="364"/>
      <c r="F242" s="365"/>
      <c r="G242" s="366"/>
      <c r="H242" s="367"/>
      <c r="I242" s="367"/>
      <c r="J242" s="360"/>
      <c r="K242" s="360"/>
    </row>
    <row r="243" spans="2:11" ht="31.5" customHeight="1">
      <c r="B243" s="369">
        <v>197</v>
      </c>
      <c r="C243" s="356"/>
      <c r="D243" s="356"/>
      <c r="E243" s="364"/>
      <c r="F243" s="365"/>
      <c r="G243" s="366"/>
      <c r="H243" s="367"/>
      <c r="I243" s="367"/>
      <c r="J243" s="360"/>
      <c r="K243" s="360"/>
    </row>
    <row r="244" spans="2:11" ht="31.5" customHeight="1">
      <c r="B244" s="369">
        <v>198</v>
      </c>
      <c r="C244" s="356"/>
      <c r="D244" s="356"/>
      <c r="E244" s="364"/>
      <c r="F244" s="365"/>
      <c r="G244" s="366"/>
      <c r="H244" s="367"/>
      <c r="I244" s="367"/>
      <c r="J244" s="360"/>
      <c r="K244" s="360"/>
    </row>
    <row r="245" spans="2:11" ht="31.5" customHeight="1">
      <c r="B245" s="369">
        <v>199</v>
      </c>
      <c r="C245" s="356"/>
      <c r="D245" s="356"/>
      <c r="E245" s="364"/>
      <c r="F245" s="365"/>
      <c r="G245" s="366"/>
      <c r="H245" s="367"/>
      <c r="I245" s="367"/>
      <c r="J245" s="360"/>
      <c r="K245" s="360"/>
    </row>
    <row r="246" spans="2:11" ht="31.5" customHeight="1">
      <c r="B246" s="369">
        <v>200</v>
      </c>
      <c r="C246" s="356"/>
      <c r="D246" s="356"/>
      <c r="E246" s="363"/>
      <c r="F246" s="358"/>
      <c r="G246" s="358"/>
      <c r="H246" s="180"/>
      <c r="I246" s="180"/>
      <c r="J246" s="360"/>
      <c r="K246" s="371"/>
    </row>
    <row r="247" spans="2:11" ht="31.5" customHeight="1">
      <c r="B247" s="369">
        <v>201</v>
      </c>
      <c r="C247" s="350"/>
      <c r="D247" s="350"/>
      <c r="E247" s="363"/>
      <c r="F247" s="358"/>
      <c r="G247" s="358"/>
      <c r="H247" s="180"/>
      <c r="I247" s="180"/>
      <c r="J247" s="360"/>
      <c r="K247" s="360"/>
    </row>
    <row r="248" spans="2:11" ht="31.5" customHeight="1">
      <c r="B248" s="369">
        <v>202</v>
      </c>
      <c r="C248" s="350"/>
      <c r="D248" s="350"/>
      <c r="E248" s="363"/>
      <c r="F248" s="358"/>
      <c r="G248" s="358"/>
      <c r="H248" s="180"/>
      <c r="I248" s="180"/>
      <c r="J248" s="360"/>
      <c r="K248" s="360"/>
    </row>
    <row r="249" spans="2:11" ht="31.5" customHeight="1">
      <c r="B249" s="369">
        <v>203</v>
      </c>
      <c r="C249" s="350"/>
      <c r="D249" s="350"/>
      <c r="E249" s="363"/>
      <c r="F249" s="358"/>
      <c r="G249" s="358"/>
      <c r="H249" s="180"/>
      <c r="I249" s="180"/>
      <c r="J249" s="360"/>
      <c r="K249" s="360"/>
    </row>
    <row r="250" spans="2:11" ht="31.5" customHeight="1">
      <c r="B250" s="369">
        <v>204</v>
      </c>
      <c r="C250" s="350"/>
      <c r="D250" s="350"/>
      <c r="E250" s="363"/>
      <c r="F250" s="358"/>
      <c r="G250" s="358"/>
      <c r="H250" s="180"/>
      <c r="I250" s="180"/>
      <c r="J250" s="360"/>
      <c r="K250" s="360"/>
    </row>
    <row r="251" spans="2:11" ht="31.5" customHeight="1">
      <c r="B251" s="369">
        <v>205</v>
      </c>
      <c r="C251" s="350"/>
      <c r="D251" s="350"/>
      <c r="E251" s="363"/>
      <c r="F251" s="358"/>
      <c r="G251" s="358"/>
      <c r="H251" s="180"/>
      <c r="I251" s="180"/>
      <c r="J251" s="360"/>
      <c r="K251" s="360"/>
    </row>
    <row r="252" spans="2:11" ht="31.5" customHeight="1">
      <c r="B252" s="369">
        <v>206</v>
      </c>
      <c r="C252" s="350"/>
      <c r="D252" s="350"/>
      <c r="E252" s="363"/>
      <c r="F252" s="362"/>
      <c r="G252" s="362"/>
      <c r="H252" s="180"/>
      <c r="I252" s="180"/>
      <c r="J252" s="360"/>
      <c r="K252" s="360"/>
    </row>
    <row r="253" spans="2:11" ht="31.5" customHeight="1">
      <c r="B253" s="369">
        <v>207</v>
      </c>
      <c r="C253" s="350"/>
      <c r="D253" s="350"/>
      <c r="E253" s="363"/>
      <c r="F253" s="362"/>
      <c r="G253" s="362"/>
      <c r="H253" s="180"/>
      <c r="I253" s="180"/>
      <c r="J253" s="360"/>
      <c r="K253" s="360"/>
    </row>
    <row r="254" spans="2:11" ht="31.5" customHeight="1">
      <c r="B254" s="369">
        <v>208</v>
      </c>
      <c r="C254" s="350"/>
      <c r="D254" s="350"/>
      <c r="E254" s="363"/>
      <c r="F254" s="358"/>
      <c r="G254" s="358"/>
      <c r="H254" s="180"/>
      <c r="I254" s="180"/>
      <c r="J254" s="360"/>
      <c r="K254" s="360"/>
    </row>
    <row r="255" spans="2:11" ht="31.5" customHeight="1">
      <c r="B255" s="369">
        <v>209</v>
      </c>
      <c r="C255" s="356"/>
      <c r="D255" s="356"/>
      <c r="E255" s="363"/>
      <c r="F255" s="366"/>
      <c r="G255" s="366"/>
      <c r="H255" s="367"/>
      <c r="I255" s="367"/>
      <c r="J255" s="360"/>
      <c r="K255" s="360"/>
    </row>
    <row r="256" spans="2:11" ht="31.5" customHeight="1">
      <c r="B256" s="369">
        <v>210</v>
      </c>
      <c r="C256" s="356"/>
      <c r="D256" s="356"/>
      <c r="E256" s="364"/>
      <c r="F256" s="366"/>
      <c r="G256" s="366"/>
      <c r="H256" s="367"/>
      <c r="I256" s="367"/>
      <c r="J256" s="360"/>
      <c r="K256" s="360"/>
    </row>
    <row r="257" spans="2:11" ht="31.5" customHeight="1">
      <c r="B257" s="369">
        <v>211</v>
      </c>
      <c r="C257" s="356"/>
      <c r="D257" s="356"/>
      <c r="E257" s="364"/>
      <c r="F257" s="366"/>
      <c r="G257" s="366"/>
      <c r="H257" s="180"/>
      <c r="I257" s="180"/>
      <c r="J257" s="360"/>
      <c r="K257" s="360"/>
    </row>
    <row r="258" spans="2:11" ht="31.5" customHeight="1">
      <c r="B258" s="369">
        <v>212</v>
      </c>
      <c r="C258" s="356"/>
      <c r="D258" s="356"/>
      <c r="E258" s="364"/>
      <c r="F258" s="366"/>
      <c r="G258" s="366"/>
      <c r="H258" s="367"/>
      <c r="I258" s="367"/>
      <c r="J258" s="360"/>
      <c r="K258" s="360"/>
    </row>
    <row r="259" spans="2:11" ht="31.5" customHeight="1">
      <c r="B259" s="369">
        <v>213</v>
      </c>
      <c r="C259" s="356"/>
      <c r="D259" s="356"/>
      <c r="E259" s="364"/>
      <c r="F259" s="366"/>
      <c r="G259" s="366"/>
      <c r="H259" s="367"/>
      <c r="I259" s="367"/>
      <c r="J259" s="360"/>
      <c r="K259" s="360"/>
    </row>
    <row r="260" spans="2:11" ht="31.5" customHeight="1">
      <c r="B260" s="369">
        <v>214</v>
      </c>
      <c r="C260" s="350"/>
      <c r="D260" s="350"/>
      <c r="E260" s="363"/>
      <c r="F260" s="366"/>
      <c r="G260" s="366"/>
      <c r="H260" s="180"/>
      <c r="I260" s="180"/>
      <c r="J260" s="360"/>
      <c r="K260" s="360"/>
    </row>
    <row r="261" spans="2:11" ht="31.5" customHeight="1">
      <c r="B261" s="369">
        <v>215</v>
      </c>
      <c r="C261" s="356"/>
      <c r="D261" s="356"/>
      <c r="E261" s="364"/>
      <c r="F261" s="365"/>
      <c r="G261" s="366"/>
      <c r="H261" s="367"/>
      <c r="I261" s="367"/>
      <c r="J261" s="360"/>
      <c r="K261" s="360"/>
    </row>
    <row r="262" spans="2:11" ht="31.5" customHeight="1">
      <c r="B262" s="369">
        <v>216</v>
      </c>
      <c r="C262" s="356"/>
      <c r="D262" s="356"/>
      <c r="E262" s="364"/>
      <c r="F262" s="365"/>
      <c r="G262" s="366"/>
      <c r="H262" s="367"/>
      <c r="I262" s="367"/>
      <c r="J262" s="360"/>
      <c r="K262" s="360"/>
    </row>
    <row r="263" spans="2:11" ht="31.5" customHeight="1">
      <c r="B263" s="369">
        <v>217</v>
      </c>
      <c r="C263" s="356"/>
      <c r="D263" s="356"/>
      <c r="E263" s="364"/>
      <c r="F263" s="365"/>
      <c r="G263" s="366"/>
      <c r="H263" s="367"/>
      <c r="I263" s="367"/>
      <c r="J263" s="360"/>
      <c r="K263" s="360"/>
    </row>
    <row r="264" spans="2:11" ht="31.5" customHeight="1">
      <c r="B264" s="369">
        <v>218</v>
      </c>
      <c r="C264" s="356"/>
      <c r="D264" s="356"/>
      <c r="E264" s="364"/>
      <c r="F264" s="365"/>
      <c r="G264" s="366"/>
      <c r="H264" s="367"/>
      <c r="I264" s="367"/>
      <c r="J264" s="360"/>
      <c r="K264" s="360"/>
    </row>
    <row r="265" spans="2:11" ht="31.5" customHeight="1">
      <c r="B265" s="369">
        <v>219</v>
      </c>
      <c r="C265" s="356"/>
      <c r="D265" s="356"/>
      <c r="E265" s="364"/>
      <c r="F265" s="365"/>
      <c r="G265" s="366"/>
      <c r="H265" s="367"/>
      <c r="I265" s="367"/>
      <c r="J265" s="360"/>
      <c r="K265" s="360"/>
    </row>
    <row r="266" spans="2:11" ht="31.5" customHeight="1">
      <c r="B266" s="369">
        <v>220</v>
      </c>
      <c r="C266" s="356"/>
      <c r="D266" s="356"/>
      <c r="E266" s="364"/>
      <c r="F266" s="365"/>
      <c r="G266" s="366"/>
      <c r="H266" s="367"/>
      <c r="I266" s="367"/>
      <c r="J266" s="360"/>
      <c r="K266" s="360"/>
    </row>
    <row r="267" spans="2:11" ht="31.5" customHeight="1">
      <c r="B267" s="369">
        <v>221</v>
      </c>
      <c r="C267" s="356"/>
      <c r="D267" s="356"/>
      <c r="E267" s="364"/>
      <c r="F267" s="365"/>
      <c r="G267" s="366"/>
      <c r="H267" s="367"/>
      <c r="I267" s="367"/>
      <c r="J267" s="360"/>
      <c r="K267" s="360"/>
    </row>
    <row r="268" spans="2:11" ht="31.5" customHeight="1">
      <c r="B268" s="369">
        <v>222</v>
      </c>
      <c r="C268" s="356"/>
      <c r="D268" s="356"/>
      <c r="E268" s="364"/>
      <c r="F268" s="365"/>
      <c r="G268" s="366"/>
      <c r="H268" s="367"/>
      <c r="I268" s="367"/>
      <c r="J268" s="360"/>
      <c r="K268" s="360"/>
    </row>
    <row r="269" spans="2:11" ht="31.5" customHeight="1">
      <c r="B269" s="369">
        <v>223</v>
      </c>
      <c r="C269" s="356"/>
      <c r="D269" s="356"/>
      <c r="E269" s="364"/>
      <c r="F269" s="365"/>
      <c r="G269" s="366"/>
      <c r="H269" s="367"/>
      <c r="I269" s="367"/>
      <c r="J269" s="360"/>
      <c r="K269" s="360"/>
    </row>
    <row r="270" spans="2:11" ht="31.5" customHeight="1">
      <c r="B270" s="369">
        <v>224</v>
      </c>
      <c r="C270" s="356"/>
      <c r="D270" s="356"/>
      <c r="E270" s="364"/>
      <c r="F270" s="365"/>
      <c r="G270" s="366"/>
      <c r="H270" s="367"/>
      <c r="I270" s="367"/>
      <c r="J270" s="360"/>
      <c r="K270" s="360"/>
    </row>
    <row r="271" spans="2:11" ht="31.5" customHeight="1">
      <c r="B271" s="369">
        <v>225</v>
      </c>
      <c r="C271" s="356"/>
      <c r="D271" s="356"/>
      <c r="E271" s="364"/>
      <c r="F271" s="365"/>
      <c r="G271" s="366"/>
      <c r="H271" s="367"/>
      <c r="I271" s="367"/>
      <c r="J271" s="360"/>
      <c r="K271" s="360"/>
    </row>
    <row r="272" spans="2:11" ht="31.5" customHeight="1">
      <c r="B272" s="369">
        <v>226</v>
      </c>
      <c r="C272" s="356"/>
      <c r="D272" s="356"/>
      <c r="E272" s="364"/>
      <c r="F272" s="365"/>
      <c r="G272" s="366"/>
      <c r="H272" s="367"/>
      <c r="I272" s="367"/>
      <c r="J272" s="360"/>
      <c r="K272" s="360"/>
    </row>
    <row r="273" spans="2:11" ht="31.5" customHeight="1">
      <c r="B273" s="369">
        <v>227</v>
      </c>
      <c r="C273" s="356"/>
      <c r="D273" s="356"/>
      <c r="E273" s="364"/>
      <c r="F273" s="365"/>
      <c r="G273" s="366"/>
      <c r="H273" s="367"/>
      <c r="I273" s="367"/>
      <c r="J273" s="360"/>
      <c r="K273" s="360"/>
    </row>
    <row r="274" spans="2:11" ht="31.5" customHeight="1">
      <c r="B274" s="369">
        <v>228</v>
      </c>
      <c r="C274" s="356"/>
      <c r="D274" s="356"/>
      <c r="E274" s="364"/>
      <c r="F274" s="365"/>
      <c r="G274" s="366"/>
      <c r="H274" s="367"/>
      <c r="I274" s="367"/>
      <c r="J274" s="360"/>
      <c r="K274" s="360"/>
    </row>
    <row r="275" spans="2:11" ht="31.5" customHeight="1">
      <c r="B275" s="369">
        <v>229</v>
      </c>
      <c r="C275" s="356"/>
      <c r="D275" s="356"/>
      <c r="E275" s="364"/>
      <c r="F275" s="365"/>
      <c r="G275" s="366"/>
      <c r="H275" s="367"/>
      <c r="I275" s="367"/>
      <c r="J275" s="360"/>
      <c r="K275" s="360"/>
    </row>
    <row r="276" spans="2:11" ht="31.5" customHeight="1">
      <c r="B276" s="369">
        <v>230</v>
      </c>
      <c r="C276" s="356"/>
      <c r="D276" s="356"/>
      <c r="E276" s="364"/>
      <c r="F276" s="365"/>
      <c r="G276" s="366"/>
      <c r="H276" s="367"/>
      <c r="I276" s="367"/>
      <c r="J276" s="360"/>
      <c r="K276" s="360"/>
    </row>
    <row r="277" spans="2:11" ht="31.5" customHeight="1">
      <c r="B277" s="369">
        <v>231</v>
      </c>
      <c r="C277" s="356"/>
      <c r="D277" s="356"/>
      <c r="E277" s="364"/>
      <c r="F277" s="365"/>
      <c r="G277" s="366"/>
      <c r="H277" s="367"/>
      <c r="I277" s="367"/>
      <c r="J277" s="360"/>
      <c r="K277" s="360"/>
    </row>
    <row r="278" spans="2:11" ht="31.5" customHeight="1">
      <c r="B278" s="369">
        <v>232</v>
      </c>
      <c r="C278" s="356"/>
      <c r="D278" s="356"/>
      <c r="E278" s="364"/>
      <c r="F278" s="365"/>
      <c r="G278" s="366"/>
      <c r="H278" s="367"/>
      <c r="I278" s="367"/>
      <c r="J278" s="360"/>
      <c r="K278" s="360"/>
    </row>
    <row r="279" spans="2:11" ht="31.5" customHeight="1">
      <c r="B279" s="369">
        <v>233</v>
      </c>
      <c r="C279" s="356"/>
      <c r="D279" s="356"/>
      <c r="E279" s="364"/>
      <c r="F279" s="365"/>
      <c r="G279" s="366"/>
      <c r="H279" s="367"/>
      <c r="I279" s="367"/>
      <c r="J279" s="360"/>
      <c r="K279" s="360"/>
    </row>
    <row r="280" spans="2:11" ht="31.5" customHeight="1">
      <c r="B280" s="369">
        <v>234</v>
      </c>
      <c r="C280" s="356"/>
      <c r="D280" s="356"/>
      <c r="E280" s="364"/>
      <c r="F280" s="365"/>
      <c r="G280" s="366"/>
      <c r="H280" s="367"/>
      <c r="I280" s="367"/>
      <c r="J280" s="360"/>
      <c r="K280" s="360"/>
    </row>
    <row r="281" spans="2:11" ht="31.5" customHeight="1">
      <c r="B281" s="369">
        <v>235</v>
      </c>
      <c r="C281" s="356"/>
      <c r="D281" s="356"/>
      <c r="E281" s="364"/>
      <c r="F281" s="365"/>
      <c r="G281" s="366"/>
      <c r="H281" s="367"/>
      <c r="I281" s="367"/>
      <c r="J281" s="360"/>
      <c r="K281" s="360"/>
    </row>
    <row r="282" spans="2:11" ht="31.5" customHeight="1">
      <c r="B282" s="369">
        <v>236</v>
      </c>
      <c r="C282" s="356"/>
      <c r="D282" s="356"/>
      <c r="E282" s="364"/>
      <c r="F282" s="365"/>
      <c r="G282" s="366"/>
      <c r="H282" s="367"/>
      <c r="I282" s="367"/>
      <c r="J282" s="360"/>
      <c r="K282" s="360"/>
    </row>
    <row r="283" spans="2:11" ht="31.5" customHeight="1">
      <c r="B283" s="369">
        <v>237</v>
      </c>
      <c r="C283" s="372"/>
      <c r="D283" s="372"/>
      <c r="E283" s="373"/>
      <c r="F283" s="374"/>
      <c r="G283" s="375"/>
      <c r="H283" s="376"/>
      <c r="I283" s="376"/>
      <c r="J283" s="377"/>
      <c r="K283" s="360"/>
    </row>
    <row r="284" spans="2:11" ht="31.5" customHeight="1">
      <c r="B284" s="369">
        <v>238</v>
      </c>
      <c r="C284" s="356"/>
      <c r="D284" s="356"/>
      <c r="E284" s="364"/>
      <c r="F284" s="365"/>
      <c r="G284" s="366"/>
      <c r="H284" s="367"/>
      <c r="I284" s="367"/>
      <c r="J284" s="360"/>
      <c r="K284" s="360"/>
    </row>
    <row r="285" spans="2:11" ht="31.5" customHeight="1">
      <c r="B285" s="369">
        <v>239</v>
      </c>
      <c r="C285" s="356"/>
      <c r="D285" s="356"/>
      <c r="E285" s="364"/>
      <c r="F285" s="365"/>
      <c r="G285" s="366"/>
      <c r="H285" s="367"/>
      <c r="I285" s="367"/>
      <c r="J285" s="360"/>
      <c r="K285" s="360"/>
    </row>
    <row r="286" spans="2:11" ht="31.5" customHeight="1">
      <c r="B286" s="369">
        <v>240</v>
      </c>
      <c r="C286" s="356"/>
      <c r="D286" s="356"/>
      <c r="E286" s="364"/>
      <c r="F286" s="365"/>
      <c r="G286" s="366"/>
      <c r="H286" s="367"/>
      <c r="I286" s="367"/>
      <c r="J286" s="360"/>
      <c r="K286" s="360"/>
    </row>
    <row r="287" spans="2:11" ht="31.5" customHeight="1">
      <c r="B287" s="369">
        <v>241</v>
      </c>
      <c r="C287" s="356"/>
      <c r="D287" s="356"/>
      <c r="E287" s="364"/>
      <c r="F287" s="365"/>
      <c r="G287" s="366"/>
      <c r="H287" s="367"/>
      <c r="I287" s="367"/>
      <c r="J287" s="360"/>
      <c r="K287" s="360"/>
    </row>
    <row r="288" spans="2:11" ht="31.5" customHeight="1">
      <c r="B288" s="369">
        <v>242</v>
      </c>
      <c r="C288" s="356"/>
      <c r="D288" s="356"/>
      <c r="E288" s="364"/>
      <c r="F288" s="365"/>
      <c r="G288" s="366"/>
      <c r="H288" s="367"/>
      <c r="I288" s="367"/>
      <c r="J288" s="360"/>
      <c r="K288" s="360"/>
    </row>
    <row r="289" spans="2:14" ht="31.5" customHeight="1">
      <c r="B289" s="369">
        <v>243</v>
      </c>
      <c r="C289" s="356"/>
      <c r="D289" s="356"/>
      <c r="E289" s="364"/>
      <c r="F289" s="365"/>
      <c r="G289" s="366"/>
      <c r="H289" s="367"/>
      <c r="I289" s="367"/>
      <c r="J289" s="360"/>
      <c r="K289" s="360"/>
    </row>
    <row r="290" spans="2:14" ht="31.5" customHeight="1">
      <c r="B290" s="369">
        <v>245</v>
      </c>
      <c r="C290" s="356"/>
      <c r="D290" s="356"/>
      <c r="E290" s="364"/>
      <c r="F290" s="365"/>
      <c r="G290" s="366"/>
      <c r="H290" s="367"/>
      <c r="I290" s="367"/>
      <c r="J290" s="360"/>
      <c r="K290" s="360"/>
    </row>
    <row r="291" spans="2:14" ht="31.5" customHeight="1">
      <c r="B291" s="369">
        <v>246</v>
      </c>
      <c r="C291" s="356"/>
      <c r="D291" s="356"/>
      <c r="E291" s="364"/>
      <c r="F291" s="365"/>
      <c r="G291" s="366"/>
      <c r="H291" s="367"/>
      <c r="I291" s="367"/>
      <c r="J291" s="360"/>
      <c r="K291" s="360"/>
    </row>
    <row r="292" spans="2:14" ht="31.5" customHeight="1">
      <c r="B292" s="369">
        <v>247</v>
      </c>
      <c r="C292" s="356"/>
      <c r="D292" s="356"/>
      <c r="E292" s="364"/>
      <c r="F292" s="365"/>
      <c r="G292" s="366"/>
      <c r="H292" s="367"/>
      <c r="I292" s="367"/>
      <c r="J292" s="360"/>
      <c r="K292" s="360"/>
    </row>
    <row r="293" spans="2:14" ht="31.5" customHeight="1">
      <c r="B293" s="369">
        <v>248</v>
      </c>
      <c r="C293" s="356"/>
      <c r="D293" s="356"/>
      <c r="E293" s="364"/>
      <c r="F293" s="365"/>
      <c r="G293" s="366"/>
      <c r="H293" s="367"/>
      <c r="I293" s="367"/>
      <c r="J293" s="360"/>
      <c r="K293" s="360"/>
    </row>
    <row r="294" spans="2:14" ht="31.5" customHeight="1">
      <c r="B294" s="369">
        <v>249</v>
      </c>
      <c r="C294" s="356"/>
      <c r="D294" s="356"/>
      <c r="E294" s="364"/>
      <c r="F294" s="365"/>
      <c r="G294" s="366"/>
      <c r="H294" s="367"/>
      <c r="I294" s="367"/>
      <c r="J294" s="360"/>
      <c r="K294" s="360"/>
    </row>
    <row r="295" spans="2:14" ht="31.5" customHeight="1">
      <c r="B295" s="369">
        <v>250</v>
      </c>
      <c r="C295" s="356"/>
      <c r="D295" s="356"/>
      <c r="E295" s="364"/>
      <c r="F295" s="365"/>
      <c r="G295" s="366"/>
      <c r="H295" s="367"/>
      <c r="I295" s="367"/>
      <c r="J295" s="360"/>
      <c r="K295" s="360"/>
      <c r="L295" s="378">
        <v>41470</v>
      </c>
      <c r="M295" s="378">
        <v>41486</v>
      </c>
      <c r="N295" s="316" t="s">
        <v>185</v>
      </c>
    </row>
    <row r="296" spans="2:14" ht="31.5" customHeight="1">
      <c r="B296" s="369">
        <v>251</v>
      </c>
      <c r="C296" s="356"/>
      <c r="D296" s="356"/>
      <c r="E296" s="364"/>
      <c r="F296" s="365"/>
      <c r="G296" s="366"/>
      <c r="H296" s="367"/>
      <c r="I296" s="367"/>
      <c r="J296" s="360"/>
      <c r="K296" s="360"/>
    </row>
    <row r="297" spans="2:14" ht="31.5" customHeight="1">
      <c r="B297" s="369">
        <v>252</v>
      </c>
      <c r="C297" s="356"/>
      <c r="D297" s="356"/>
      <c r="E297" s="364"/>
      <c r="F297" s="365"/>
      <c r="G297" s="366"/>
      <c r="H297" s="367"/>
      <c r="I297" s="367"/>
      <c r="J297" s="360"/>
      <c r="K297" s="360"/>
    </row>
    <row r="298" spans="2:14" ht="31.5" customHeight="1">
      <c r="B298" s="369">
        <v>253</v>
      </c>
      <c r="C298" s="356"/>
      <c r="D298" s="356"/>
      <c r="E298" s="373"/>
      <c r="F298" s="365"/>
      <c r="G298" s="366"/>
      <c r="H298" s="367"/>
      <c r="I298" s="367"/>
      <c r="J298" s="360"/>
      <c r="K298" s="360"/>
    </row>
    <row r="299" spans="2:14" ht="31.5" customHeight="1">
      <c r="B299" s="369">
        <v>254</v>
      </c>
      <c r="C299" s="356"/>
      <c r="D299" s="356"/>
      <c r="E299" s="364"/>
      <c r="F299" s="365"/>
      <c r="G299" s="366"/>
      <c r="H299" s="367"/>
      <c r="I299" s="367"/>
      <c r="J299" s="360"/>
      <c r="K299" s="360"/>
    </row>
    <row r="300" spans="2:14" ht="31.5" customHeight="1">
      <c r="B300" s="369">
        <v>255</v>
      </c>
      <c r="C300" s="356"/>
      <c r="D300" s="356"/>
      <c r="E300" s="364"/>
      <c r="F300" s="365"/>
      <c r="G300" s="366"/>
      <c r="H300" s="367"/>
      <c r="I300" s="367"/>
      <c r="J300" s="360"/>
      <c r="K300" s="360"/>
    </row>
    <row r="301" spans="2:14" ht="31.5" customHeight="1">
      <c r="B301" s="369">
        <v>256</v>
      </c>
      <c r="C301" s="356"/>
      <c r="D301" s="356"/>
      <c r="E301" s="364"/>
      <c r="F301" s="365"/>
      <c r="G301" s="366"/>
      <c r="H301" s="367"/>
      <c r="I301" s="367"/>
      <c r="J301" s="360"/>
      <c r="K301" s="360"/>
      <c r="L301" s="316" t="s">
        <v>186</v>
      </c>
    </row>
    <row r="302" spans="2:14" ht="31.5" customHeight="1">
      <c r="B302" s="369">
        <v>257</v>
      </c>
      <c r="C302" s="356"/>
      <c r="D302" s="356"/>
      <c r="E302" s="364"/>
      <c r="F302" s="365"/>
      <c r="G302" s="366"/>
      <c r="H302" s="367"/>
      <c r="I302" s="367"/>
      <c r="J302" s="360"/>
      <c r="K302" s="360"/>
    </row>
    <row r="303" spans="2:14" ht="31.5" customHeight="1">
      <c r="B303" s="369">
        <v>258</v>
      </c>
      <c r="C303" s="356"/>
      <c r="D303" s="356"/>
      <c r="E303" s="364"/>
      <c r="F303" s="365"/>
      <c r="G303" s="366"/>
      <c r="H303" s="367"/>
      <c r="I303" s="367"/>
      <c r="J303" s="360"/>
      <c r="K303" s="360"/>
      <c r="L303" s="316" t="s">
        <v>187</v>
      </c>
    </row>
    <row r="304" spans="2:14" ht="31.5" customHeight="1">
      <c r="B304" s="369">
        <v>259</v>
      </c>
      <c r="C304" s="356"/>
      <c r="D304" s="356"/>
      <c r="E304" s="364"/>
      <c r="F304" s="365"/>
      <c r="G304" s="366"/>
      <c r="H304" s="367"/>
      <c r="I304" s="367"/>
      <c r="J304" s="360"/>
      <c r="K304" s="360"/>
      <c r="L304" s="316" t="s">
        <v>188</v>
      </c>
    </row>
    <row r="305" spans="2:12" ht="31.5" customHeight="1">
      <c r="B305" s="369">
        <v>260</v>
      </c>
      <c r="C305" s="356"/>
      <c r="D305" s="356"/>
      <c r="E305" s="364"/>
      <c r="F305" s="365"/>
      <c r="G305" s="366"/>
      <c r="H305" s="367"/>
      <c r="I305" s="367"/>
      <c r="J305" s="360"/>
      <c r="K305" s="360"/>
      <c r="L305" s="316" t="s">
        <v>189</v>
      </c>
    </row>
    <row r="306" spans="2:12" ht="31.5" customHeight="1">
      <c r="B306" s="369">
        <v>261</v>
      </c>
      <c r="C306" s="356"/>
      <c r="D306" s="356"/>
      <c r="E306" s="364"/>
      <c r="F306" s="365"/>
      <c r="G306" s="366"/>
      <c r="H306" s="367"/>
      <c r="I306" s="367"/>
      <c r="J306" s="360"/>
      <c r="K306" s="360"/>
      <c r="L306" s="316" t="s">
        <v>191</v>
      </c>
    </row>
    <row r="307" spans="2:12" ht="31.5" customHeight="1">
      <c r="B307" s="369">
        <v>262</v>
      </c>
      <c r="C307" s="356"/>
      <c r="D307" s="356"/>
      <c r="E307" s="364"/>
      <c r="F307" s="365"/>
      <c r="G307" s="366"/>
      <c r="H307" s="367"/>
      <c r="I307" s="367"/>
      <c r="J307" s="360"/>
      <c r="K307" s="360"/>
      <c r="L307" s="316" t="s">
        <v>192</v>
      </c>
    </row>
    <row r="308" spans="2:12" ht="31.5" customHeight="1">
      <c r="B308" s="369">
        <v>263</v>
      </c>
      <c r="C308" s="356"/>
      <c r="D308" s="356"/>
      <c r="E308" s="364"/>
      <c r="F308" s="365"/>
      <c r="G308" s="366"/>
      <c r="H308" s="367"/>
      <c r="I308" s="367"/>
      <c r="J308" s="360"/>
      <c r="K308" s="360"/>
      <c r="L308" s="316" t="s">
        <v>193</v>
      </c>
    </row>
    <row r="309" spans="2:12" ht="31.5" customHeight="1">
      <c r="B309" s="369">
        <v>264</v>
      </c>
      <c r="C309" s="356"/>
      <c r="D309" s="356"/>
      <c r="E309" s="364"/>
      <c r="F309" s="365"/>
      <c r="G309" s="366"/>
      <c r="H309" s="367"/>
      <c r="I309" s="367"/>
      <c r="J309" s="360"/>
      <c r="K309" s="360"/>
    </row>
    <row r="310" spans="2:12" ht="31.5" customHeight="1">
      <c r="B310" s="369">
        <v>265</v>
      </c>
      <c r="C310" s="356"/>
      <c r="D310" s="356"/>
      <c r="E310" s="364"/>
      <c r="F310" s="365"/>
      <c r="G310" s="366"/>
      <c r="H310" s="367"/>
      <c r="I310" s="367"/>
      <c r="J310" s="360"/>
      <c r="K310" s="360"/>
      <c r="L310" s="316" t="s">
        <v>194</v>
      </c>
    </row>
    <row r="311" spans="2:12" ht="31.5" customHeight="1">
      <c r="B311" s="369">
        <v>266</v>
      </c>
      <c r="C311" s="356"/>
      <c r="D311" s="356"/>
      <c r="E311" s="364"/>
      <c r="F311" s="365"/>
      <c r="G311" s="366"/>
      <c r="H311" s="367"/>
      <c r="I311" s="367"/>
      <c r="J311" s="360"/>
      <c r="K311" s="360"/>
      <c r="L311" s="316" t="s">
        <v>195</v>
      </c>
    </row>
    <row r="312" spans="2:12" ht="31.5" customHeight="1">
      <c r="B312" s="369">
        <v>267</v>
      </c>
      <c r="C312" s="356"/>
      <c r="D312" s="356"/>
      <c r="E312" s="364"/>
      <c r="F312" s="365"/>
      <c r="G312" s="366"/>
      <c r="H312" s="367"/>
      <c r="I312" s="367"/>
      <c r="J312" s="360"/>
      <c r="K312" s="360"/>
      <c r="L312" s="316" t="s">
        <v>197</v>
      </c>
    </row>
    <row r="313" spans="2:12" ht="31.5" customHeight="1">
      <c r="B313" s="369">
        <v>268</v>
      </c>
      <c r="C313" s="356"/>
      <c r="D313" s="356"/>
      <c r="E313" s="364"/>
      <c r="F313" s="365"/>
      <c r="G313" s="366"/>
      <c r="H313" s="367"/>
      <c r="I313" s="367"/>
      <c r="J313" s="360"/>
      <c r="K313" s="360"/>
      <c r="L313" s="316" t="s">
        <v>196</v>
      </c>
    </row>
    <row r="314" spans="2:12" ht="31.5" customHeight="1">
      <c r="B314" s="369">
        <v>269</v>
      </c>
      <c r="C314" s="356"/>
      <c r="D314" s="356"/>
      <c r="E314" s="364"/>
      <c r="F314" s="365"/>
      <c r="G314" s="366"/>
      <c r="H314" s="367"/>
      <c r="I314" s="367"/>
      <c r="J314" s="360"/>
      <c r="K314" s="360"/>
      <c r="L314" s="316" t="s">
        <v>201</v>
      </c>
    </row>
    <row r="315" spans="2:12" ht="31.5" customHeight="1">
      <c r="B315" s="369">
        <v>270</v>
      </c>
      <c r="C315" s="356"/>
      <c r="D315" s="356"/>
      <c r="E315" s="364"/>
      <c r="F315" s="365"/>
      <c r="G315" s="366"/>
      <c r="H315" s="367"/>
      <c r="I315" s="367"/>
      <c r="J315" s="360"/>
      <c r="K315" s="360"/>
      <c r="L315" s="316" t="s">
        <v>202</v>
      </c>
    </row>
    <row r="316" spans="2:12" ht="31.5" customHeight="1">
      <c r="B316" s="369">
        <v>271</v>
      </c>
      <c r="C316" s="356"/>
      <c r="D316" s="356"/>
      <c r="E316" s="364"/>
      <c r="F316" s="365"/>
      <c r="G316" s="366"/>
      <c r="H316" s="367"/>
      <c r="I316" s="367"/>
      <c r="J316" s="360"/>
      <c r="K316" s="360"/>
    </row>
    <row r="317" spans="2:12" ht="31.5" customHeight="1">
      <c r="B317" s="369">
        <v>272</v>
      </c>
      <c r="C317" s="356"/>
      <c r="D317" s="356"/>
      <c r="E317" s="364"/>
      <c r="F317" s="365"/>
      <c r="G317" s="366"/>
      <c r="H317" s="367"/>
      <c r="I317" s="367"/>
      <c r="J317" s="360"/>
      <c r="K317" s="360"/>
      <c r="L317" s="316" t="s">
        <v>200</v>
      </c>
    </row>
    <row r="318" spans="2:12" ht="31.5" customHeight="1">
      <c r="B318" s="369">
        <v>273</v>
      </c>
      <c r="C318" s="356"/>
      <c r="D318" s="356"/>
      <c r="E318" s="364"/>
      <c r="F318" s="365"/>
      <c r="G318" s="366"/>
      <c r="H318" s="367"/>
      <c r="I318" s="367"/>
      <c r="J318" s="360"/>
      <c r="K318" s="360"/>
    </row>
    <row r="319" spans="2:12" ht="31.5" customHeight="1">
      <c r="B319" s="369">
        <v>274</v>
      </c>
      <c r="C319" s="356"/>
      <c r="D319" s="356"/>
      <c r="E319" s="364"/>
      <c r="F319" s="365"/>
      <c r="G319" s="366"/>
      <c r="H319" s="367"/>
      <c r="I319" s="367"/>
      <c r="J319" s="360"/>
      <c r="K319" s="360"/>
      <c r="L319" s="316" t="s">
        <v>203</v>
      </c>
    </row>
    <row r="320" spans="2:12" ht="31.5" customHeight="1">
      <c r="B320" s="369">
        <v>275</v>
      </c>
      <c r="C320" s="356"/>
      <c r="D320" s="356"/>
      <c r="E320" s="364"/>
      <c r="F320" s="365"/>
      <c r="G320" s="366"/>
      <c r="H320" s="367"/>
      <c r="I320" s="367"/>
      <c r="J320" s="360"/>
      <c r="K320" s="360"/>
    </row>
    <row r="321" spans="2:12" ht="31.5" customHeight="1">
      <c r="B321" s="369">
        <v>276</v>
      </c>
      <c r="C321" s="356"/>
      <c r="D321" s="356"/>
      <c r="E321" s="364"/>
      <c r="F321" s="365"/>
      <c r="G321" s="366"/>
      <c r="H321" s="367"/>
      <c r="I321" s="367"/>
      <c r="J321" s="360"/>
      <c r="K321" s="360"/>
      <c r="L321" s="316" t="s">
        <v>204</v>
      </c>
    </row>
    <row r="322" spans="2:12" ht="31.5" customHeight="1">
      <c r="B322" s="369">
        <v>277</v>
      </c>
      <c r="C322" s="356"/>
      <c r="D322" s="356"/>
      <c r="E322" s="364"/>
      <c r="F322" s="365"/>
      <c r="G322" s="366"/>
      <c r="H322" s="367"/>
      <c r="I322" s="367"/>
      <c r="J322" s="360"/>
      <c r="K322" s="360"/>
    </row>
    <row r="323" spans="2:12" ht="31.5" customHeight="1">
      <c r="B323" s="369">
        <v>278</v>
      </c>
      <c r="C323" s="356"/>
      <c r="D323" s="356"/>
      <c r="E323" s="364"/>
      <c r="F323" s="365"/>
      <c r="G323" s="366"/>
      <c r="H323" s="367"/>
      <c r="I323" s="367"/>
      <c r="J323" s="360"/>
      <c r="K323" s="360"/>
      <c r="L323" s="316" t="s">
        <v>205</v>
      </c>
    </row>
    <row r="324" spans="2:12" ht="31.5" customHeight="1">
      <c r="B324" s="369">
        <v>279</v>
      </c>
      <c r="C324" s="356"/>
      <c r="D324" s="356"/>
      <c r="E324" s="364"/>
      <c r="F324" s="365"/>
      <c r="G324" s="366"/>
      <c r="H324" s="367"/>
      <c r="I324" s="367"/>
      <c r="J324" s="360"/>
      <c r="K324" s="360"/>
    </row>
    <row r="325" spans="2:12" ht="31.5" customHeight="1">
      <c r="B325" s="369">
        <v>280</v>
      </c>
      <c r="C325" s="356"/>
      <c r="D325" s="356"/>
      <c r="E325" s="364"/>
      <c r="F325" s="365"/>
      <c r="G325" s="366"/>
      <c r="H325" s="367"/>
      <c r="I325" s="367"/>
      <c r="J325" s="360"/>
      <c r="K325" s="360"/>
      <c r="L325" s="316" t="s">
        <v>206</v>
      </c>
    </row>
    <row r="326" spans="2:12" ht="31.5" customHeight="1">
      <c r="B326" s="369">
        <v>281</v>
      </c>
      <c r="C326" s="356"/>
      <c r="D326" s="356"/>
      <c r="E326" s="364"/>
      <c r="F326" s="365"/>
      <c r="G326" s="366"/>
      <c r="H326" s="367"/>
      <c r="I326" s="367"/>
      <c r="J326" s="360"/>
      <c r="K326" s="360"/>
      <c r="L326" s="316" t="s">
        <v>207</v>
      </c>
    </row>
    <row r="327" spans="2:12" ht="31.5" customHeight="1">
      <c r="B327" s="369">
        <v>282</v>
      </c>
      <c r="C327" s="356"/>
      <c r="D327" s="356"/>
      <c r="E327" s="364"/>
      <c r="F327" s="365"/>
      <c r="G327" s="366"/>
      <c r="H327" s="367"/>
      <c r="I327" s="367"/>
      <c r="J327" s="360"/>
      <c r="K327" s="360"/>
      <c r="L327" s="316" t="s">
        <v>208</v>
      </c>
    </row>
    <row r="328" spans="2:12" ht="31.5" customHeight="1">
      <c r="B328" s="369">
        <v>283</v>
      </c>
      <c r="C328" s="356"/>
      <c r="D328" s="356"/>
      <c r="E328" s="364"/>
      <c r="F328" s="365"/>
      <c r="G328" s="366"/>
      <c r="H328" s="367"/>
      <c r="I328" s="367"/>
      <c r="J328" s="360"/>
      <c r="K328" s="360"/>
    </row>
    <row r="329" spans="2:12" ht="31.5" customHeight="1">
      <c r="B329" s="369">
        <v>284</v>
      </c>
      <c r="C329" s="356"/>
      <c r="D329" s="356"/>
      <c r="E329" s="364"/>
      <c r="F329" s="365"/>
      <c r="G329" s="366"/>
      <c r="H329" s="367"/>
      <c r="I329" s="367"/>
      <c r="J329" s="360"/>
      <c r="K329" s="360"/>
    </row>
    <row r="330" spans="2:12" ht="31.5" customHeight="1">
      <c r="B330" s="369">
        <v>285</v>
      </c>
      <c r="C330" s="356"/>
      <c r="D330" s="356"/>
      <c r="E330" s="364"/>
      <c r="F330" s="379"/>
      <c r="G330" s="379"/>
      <c r="H330" s="380"/>
      <c r="I330" s="380"/>
      <c r="J330" s="381"/>
      <c r="K330" s="360"/>
    </row>
    <row r="331" spans="2:12" ht="31.5" customHeight="1">
      <c r="B331" s="369">
        <v>286</v>
      </c>
      <c r="C331" s="356"/>
      <c r="D331" s="356"/>
      <c r="E331" s="364"/>
      <c r="F331" s="379"/>
      <c r="G331" s="379"/>
      <c r="H331" s="380"/>
      <c r="I331" s="380"/>
      <c r="J331" s="381"/>
      <c r="K331" s="360"/>
    </row>
    <row r="332" spans="2:12" ht="31.5" customHeight="1">
      <c r="B332" s="369">
        <v>287</v>
      </c>
      <c r="C332" s="356"/>
      <c r="D332" s="356"/>
      <c r="E332" s="364"/>
      <c r="F332" s="379"/>
      <c r="G332" s="379"/>
      <c r="H332" s="380"/>
      <c r="I332" s="380"/>
      <c r="J332" s="381"/>
      <c r="K332" s="360"/>
    </row>
    <row r="333" spans="2:12" ht="31.5" customHeight="1">
      <c r="B333" s="369">
        <v>288</v>
      </c>
      <c r="C333" s="356"/>
      <c r="D333" s="356"/>
      <c r="E333" s="364"/>
      <c r="F333" s="365"/>
      <c r="G333" s="366"/>
      <c r="H333" s="380"/>
      <c r="I333" s="380"/>
      <c r="J333" s="360"/>
      <c r="K333" s="360"/>
    </row>
    <row r="334" spans="2:12" ht="31.5" customHeight="1">
      <c r="B334" s="369">
        <v>289</v>
      </c>
      <c r="C334" s="356"/>
      <c r="D334" s="356"/>
      <c r="E334" s="364"/>
      <c r="F334" s="365"/>
      <c r="G334" s="366"/>
      <c r="H334" s="367"/>
      <c r="I334" s="367"/>
      <c r="J334" s="360"/>
      <c r="K334" s="360"/>
    </row>
    <row r="335" spans="2:12" ht="31.5" customHeight="1">
      <c r="B335" s="369">
        <v>290</v>
      </c>
      <c r="C335" s="356"/>
      <c r="D335" s="356"/>
      <c r="E335" s="364"/>
      <c r="F335" s="365"/>
      <c r="G335" s="366"/>
      <c r="H335" s="367"/>
      <c r="I335" s="367"/>
      <c r="J335" s="360"/>
      <c r="K335" s="360"/>
    </row>
    <row r="336" spans="2:12" ht="31.5" customHeight="1">
      <c r="B336" s="369">
        <v>291</v>
      </c>
      <c r="C336" s="356"/>
      <c r="D336" s="356"/>
      <c r="E336" s="364"/>
      <c r="F336" s="365"/>
      <c r="G336" s="366"/>
      <c r="H336" s="367"/>
      <c r="I336" s="367"/>
      <c r="J336" s="360"/>
      <c r="K336" s="360"/>
    </row>
    <row r="337" spans="2:12" ht="31.5" customHeight="1">
      <c r="B337" s="369">
        <v>292</v>
      </c>
      <c r="C337" s="356"/>
      <c r="D337" s="356"/>
      <c r="E337" s="364"/>
      <c r="F337" s="365"/>
      <c r="G337" s="366"/>
      <c r="H337" s="380"/>
      <c r="I337" s="380"/>
      <c r="J337" s="360"/>
      <c r="K337" s="360"/>
    </row>
    <row r="338" spans="2:12" ht="31.5" customHeight="1">
      <c r="B338" s="369">
        <v>293</v>
      </c>
      <c r="C338" s="356"/>
      <c r="D338" s="356"/>
      <c r="E338" s="364"/>
      <c r="F338" s="365"/>
      <c r="G338" s="366"/>
      <c r="H338" s="367"/>
      <c r="I338" s="367"/>
      <c r="J338" s="360"/>
      <c r="K338" s="360"/>
    </row>
    <row r="339" spans="2:12" ht="31.5" customHeight="1">
      <c r="B339" s="369">
        <v>294</v>
      </c>
      <c r="C339" s="356"/>
      <c r="D339" s="356"/>
      <c r="E339" s="364"/>
      <c r="F339" s="365"/>
      <c r="G339" s="366"/>
      <c r="H339" s="380"/>
      <c r="I339" s="380"/>
      <c r="J339" s="360"/>
      <c r="K339" s="360"/>
    </row>
    <row r="340" spans="2:12" ht="31.5" customHeight="1">
      <c r="B340" s="369">
        <v>295</v>
      </c>
      <c r="C340" s="356"/>
      <c r="D340" s="356"/>
      <c r="E340" s="364"/>
      <c r="F340" s="365"/>
      <c r="G340" s="366"/>
      <c r="H340" s="367"/>
      <c r="I340" s="367"/>
      <c r="J340" s="360"/>
      <c r="K340" s="360"/>
    </row>
    <row r="341" spans="2:12" ht="31.5" customHeight="1">
      <c r="B341" s="369">
        <v>296</v>
      </c>
      <c r="C341" s="356"/>
      <c r="D341" s="356"/>
      <c r="E341" s="364"/>
      <c r="F341" s="365"/>
      <c r="G341" s="366"/>
      <c r="H341" s="367"/>
      <c r="I341" s="367"/>
      <c r="J341" s="360"/>
      <c r="K341" s="360"/>
    </row>
    <row r="342" spans="2:12" ht="31.5" customHeight="1">
      <c r="B342" s="369">
        <v>297</v>
      </c>
      <c r="C342" s="356"/>
      <c r="D342" s="356"/>
      <c r="E342" s="364"/>
      <c r="F342" s="365"/>
      <c r="G342" s="366"/>
      <c r="H342" s="367"/>
      <c r="I342" s="367"/>
      <c r="J342" s="360"/>
      <c r="K342" s="360"/>
      <c r="L342" s="316" t="s">
        <v>209</v>
      </c>
    </row>
    <row r="343" spans="2:12" ht="31.5" customHeight="1">
      <c r="B343" s="369">
        <v>298</v>
      </c>
      <c r="C343" s="356"/>
      <c r="D343" s="356"/>
      <c r="E343" s="364"/>
      <c r="F343" s="365"/>
      <c r="G343" s="366"/>
      <c r="H343" s="367"/>
      <c r="I343" s="367"/>
      <c r="J343" s="382"/>
      <c r="K343" s="360"/>
    </row>
    <row r="344" spans="2:12" ht="31.5" customHeight="1">
      <c r="B344" s="369">
        <v>299</v>
      </c>
      <c r="C344" s="356"/>
      <c r="D344" s="356"/>
      <c r="E344" s="364"/>
      <c r="F344" s="365"/>
      <c r="G344" s="366"/>
      <c r="H344" s="367"/>
      <c r="I344" s="367"/>
      <c r="J344" s="360"/>
      <c r="K344" s="360"/>
    </row>
    <row r="345" spans="2:12" ht="31.5" customHeight="1">
      <c r="B345" s="369">
        <v>300</v>
      </c>
      <c r="C345" s="356"/>
      <c r="D345" s="356"/>
      <c r="E345" s="364"/>
      <c r="F345" s="365"/>
      <c r="G345" s="366"/>
      <c r="H345" s="367"/>
      <c r="I345" s="367"/>
      <c r="J345" s="360"/>
      <c r="K345" s="360"/>
    </row>
    <row r="346" spans="2:12" ht="31.5" customHeight="1">
      <c r="B346" s="369">
        <v>301</v>
      </c>
      <c r="C346" s="356"/>
      <c r="D346" s="356"/>
      <c r="E346" s="364"/>
      <c r="F346" s="365"/>
      <c r="G346" s="366"/>
      <c r="H346" s="367"/>
      <c r="I346" s="367"/>
      <c r="J346" s="360"/>
      <c r="K346" s="360"/>
    </row>
    <row r="347" spans="2:12" ht="31.5" customHeight="1">
      <c r="B347" s="369">
        <v>302</v>
      </c>
      <c r="C347" s="356"/>
      <c r="D347" s="356"/>
      <c r="E347" s="364"/>
      <c r="F347" s="365"/>
      <c r="G347" s="366"/>
      <c r="H347" s="367"/>
      <c r="I347" s="367"/>
      <c r="J347" s="360"/>
      <c r="K347" s="360"/>
    </row>
    <row r="348" spans="2:12" ht="31.5" customHeight="1">
      <c r="B348" s="369">
        <v>303</v>
      </c>
      <c r="C348" s="356"/>
      <c r="D348" s="356"/>
      <c r="E348" s="364"/>
      <c r="F348" s="365"/>
      <c r="G348" s="366"/>
      <c r="H348" s="367"/>
      <c r="I348" s="367"/>
      <c r="J348" s="360"/>
      <c r="K348" s="360"/>
    </row>
    <row r="349" spans="2:12" ht="31.5" customHeight="1">
      <c r="B349" s="369">
        <v>304</v>
      </c>
      <c r="C349" s="356"/>
      <c r="D349" s="356"/>
      <c r="E349" s="364"/>
      <c r="F349" s="365"/>
      <c r="G349" s="366"/>
      <c r="H349" s="367"/>
      <c r="I349" s="367"/>
      <c r="J349" s="360"/>
      <c r="K349" s="360"/>
    </row>
    <row r="350" spans="2:12" ht="31.5" customHeight="1">
      <c r="B350" s="369">
        <v>305</v>
      </c>
      <c r="C350" s="356"/>
      <c r="D350" s="356"/>
      <c r="E350" s="364"/>
      <c r="F350" s="365"/>
      <c r="G350" s="366"/>
      <c r="H350" s="367"/>
      <c r="I350" s="367"/>
      <c r="J350" s="360"/>
      <c r="K350" s="360"/>
    </row>
    <row r="351" spans="2:12" ht="31.5" customHeight="1">
      <c r="B351" s="369">
        <f>B350+1</f>
        <v>306</v>
      </c>
      <c r="C351" s="356"/>
      <c r="D351" s="356"/>
      <c r="E351" s="364"/>
      <c r="F351" s="365"/>
      <c r="G351" s="366"/>
      <c r="H351" s="367"/>
      <c r="I351" s="367"/>
      <c r="J351" s="360"/>
      <c r="K351" s="360"/>
    </row>
    <row r="352" spans="2:12" ht="31.5" customHeight="1">
      <c r="B352" s="369">
        <f>B351+1</f>
        <v>307</v>
      </c>
      <c r="C352" s="356"/>
      <c r="D352" s="356"/>
      <c r="E352" s="364"/>
      <c r="F352" s="365"/>
      <c r="G352" s="366"/>
      <c r="H352" s="367"/>
      <c r="I352" s="367"/>
      <c r="J352" s="360"/>
      <c r="K352" s="360"/>
    </row>
    <row r="353" spans="2:11" ht="31.5" customHeight="1">
      <c r="B353" s="369">
        <f>B352+1</f>
        <v>308</v>
      </c>
      <c r="C353" s="356"/>
      <c r="D353" s="356"/>
      <c r="E353" s="364"/>
      <c r="F353" s="365"/>
      <c r="G353" s="366"/>
      <c r="H353" s="367"/>
      <c r="I353" s="367"/>
      <c r="J353" s="360"/>
      <c r="K353" s="360"/>
    </row>
    <row r="354" spans="2:11" ht="31.5" customHeight="1">
      <c r="B354" s="369">
        <f>B353+1</f>
        <v>309</v>
      </c>
      <c r="C354" s="356"/>
      <c r="D354" s="356"/>
      <c r="E354" s="364"/>
      <c r="F354" s="365"/>
      <c r="G354" s="366"/>
      <c r="H354" s="367"/>
      <c r="I354" s="367"/>
      <c r="J354" s="360"/>
      <c r="K354" s="360"/>
    </row>
    <row r="355" spans="2:11" ht="31.5" customHeight="1">
      <c r="B355" s="369">
        <f>B354+1</f>
        <v>310</v>
      </c>
      <c r="C355" s="356"/>
      <c r="D355" s="356"/>
      <c r="E355" s="364"/>
      <c r="F355" s="365"/>
      <c r="G355" s="366"/>
      <c r="H355" s="367"/>
      <c r="I355" s="367"/>
      <c r="J355" s="360"/>
      <c r="K355" s="360"/>
    </row>
    <row r="356" spans="2:11" ht="31.5" customHeight="1">
      <c r="B356" s="369">
        <v>311</v>
      </c>
      <c r="C356" s="356"/>
      <c r="D356" s="356"/>
      <c r="E356" s="364"/>
      <c r="F356" s="365"/>
      <c r="G356" s="366"/>
      <c r="H356" s="367"/>
      <c r="I356" s="367"/>
      <c r="J356" s="360"/>
      <c r="K356" s="360"/>
    </row>
    <row r="357" spans="2:11" ht="31.5" customHeight="1">
      <c r="B357" s="369">
        <v>312</v>
      </c>
      <c r="C357" s="356"/>
      <c r="D357" s="356"/>
      <c r="E357" s="364"/>
      <c r="F357" s="365"/>
      <c r="G357" s="366"/>
      <c r="H357" s="367"/>
      <c r="I357" s="367"/>
      <c r="J357" s="360"/>
      <c r="K357" s="360"/>
    </row>
    <row r="358" spans="2:11" ht="31.5" customHeight="1">
      <c r="B358" s="369">
        <v>313</v>
      </c>
      <c r="C358" s="356"/>
      <c r="D358" s="356"/>
      <c r="E358" s="364"/>
      <c r="F358" s="365"/>
      <c r="G358" s="366"/>
      <c r="H358" s="367"/>
      <c r="I358" s="367"/>
      <c r="J358" s="360"/>
      <c r="K358" s="360"/>
    </row>
    <row r="359" spans="2:11" ht="31.5" customHeight="1">
      <c r="B359" s="369">
        <v>314</v>
      </c>
      <c r="C359" s="356"/>
      <c r="D359" s="356"/>
      <c r="E359" s="364"/>
      <c r="F359" s="365"/>
      <c r="G359" s="366"/>
      <c r="H359" s="367"/>
      <c r="I359" s="367"/>
      <c r="J359" s="360"/>
      <c r="K359" s="360"/>
    </row>
    <row r="360" spans="2:11" ht="31.5" customHeight="1">
      <c r="B360" s="369">
        <v>315</v>
      </c>
      <c r="C360" s="383"/>
      <c r="D360" s="383"/>
      <c r="E360" s="364"/>
      <c r="F360" s="365"/>
      <c r="G360" s="366"/>
      <c r="H360" s="367"/>
      <c r="I360" s="367"/>
      <c r="J360" s="360"/>
      <c r="K360" s="360"/>
    </row>
    <row r="361" spans="2:11" ht="31.5" customHeight="1">
      <c r="B361" s="369">
        <v>316</v>
      </c>
      <c r="C361" s="383"/>
      <c r="D361" s="383"/>
      <c r="E361" s="364"/>
      <c r="F361" s="365"/>
      <c r="G361" s="366"/>
      <c r="H361" s="367"/>
      <c r="I361" s="367"/>
      <c r="J361" s="360"/>
      <c r="K361" s="360"/>
    </row>
    <row r="362" spans="2:11" ht="31.5" customHeight="1">
      <c r="B362" s="369">
        <v>317</v>
      </c>
      <c r="C362" s="383"/>
      <c r="D362" s="383"/>
      <c r="E362" s="364"/>
      <c r="F362" s="365"/>
      <c r="G362" s="366"/>
      <c r="H362" s="367"/>
      <c r="I362" s="367"/>
      <c r="J362" s="360"/>
      <c r="K362" s="360"/>
    </row>
    <row r="363" spans="2:11" ht="31.5" customHeight="1">
      <c r="B363" s="369">
        <v>318</v>
      </c>
      <c r="C363" s="383"/>
      <c r="D363" s="383"/>
      <c r="E363" s="364"/>
      <c r="F363" s="365"/>
      <c r="G363" s="366"/>
      <c r="H363" s="367"/>
      <c r="I363" s="367"/>
      <c r="J363" s="360"/>
      <c r="K363" s="360"/>
    </row>
    <row r="364" spans="2:11" ht="31.5" customHeight="1">
      <c r="B364" s="369">
        <v>319</v>
      </c>
      <c r="C364" s="383"/>
      <c r="D364" s="383"/>
      <c r="E364" s="384"/>
      <c r="F364" s="365"/>
      <c r="G364" s="366"/>
      <c r="H364" s="367"/>
      <c r="I364" s="367"/>
      <c r="J364" s="360"/>
      <c r="K364" s="360"/>
    </row>
    <row r="365" spans="2:11" ht="31.5" customHeight="1">
      <c r="B365" s="369">
        <v>320</v>
      </c>
      <c r="C365" s="383"/>
      <c r="D365" s="383"/>
      <c r="E365" s="364"/>
      <c r="F365" s="365"/>
      <c r="G365" s="366"/>
      <c r="H365" s="367"/>
      <c r="I365" s="367"/>
      <c r="J365" s="360"/>
      <c r="K365" s="360"/>
    </row>
    <row r="366" spans="2:11" ht="31.5" customHeight="1">
      <c r="B366" s="369">
        <v>321</v>
      </c>
      <c r="C366" s="383"/>
      <c r="D366" s="383"/>
      <c r="E366" s="364"/>
      <c r="F366" s="365"/>
      <c r="G366" s="366"/>
      <c r="H366" s="367"/>
      <c r="I366" s="367"/>
      <c r="J366" s="360"/>
      <c r="K366" s="360"/>
    </row>
    <row r="367" spans="2:11" ht="31.5" customHeight="1">
      <c r="B367" s="369">
        <v>322</v>
      </c>
      <c r="C367" s="383"/>
      <c r="D367" s="383"/>
      <c r="E367" s="364"/>
      <c r="F367" s="365"/>
      <c r="G367" s="366"/>
      <c r="H367" s="367"/>
      <c r="I367" s="367"/>
      <c r="J367" s="360"/>
      <c r="K367" s="360"/>
    </row>
    <row r="368" spans="2:11" ht="31.5" customHeight="1">
      <c r="B368" s="369">
        <v>322</v>
      </c>
      <c r="C368" s="383"/>
      <c r="D368" s="383"/>
      <c r="E368" s="364"/>
      <c r="F368" s="365"/>
      <c r="G368" s="366"/>
      <c r="H368" s="367"/>
      <c r="I368" s="367"/>
      <c r="J368" s="360"/>
      <c r="K368" s="360"/>
    </row>
    <row r="369" spans="2:11" ht="31.5" customHeight="1">
      <c r="B369" s="369">
        <v>322</v>
      </c>
      <c r="C369" s="383"/>
      <c r="D369" s="383"/>
      <c r="E369" s="364"/>
      <c r="F369" s="365"/>
      <c r="G369" s="366"/>
      <c r="H369" s="367"/>
      <c r="I369" s="367"/>
      <c r="J369" s="360"/>
      <c r="K369" s="360"/>
    </row>
    <row r="370" spans="2:11" ht="31.5" customHeight="1">
      <c r="B370" s="369"/>
      <c r="C370" s="356"/>
      <c r="D370" s="356"/>
      <c r="E370" s="364"/>
      <c r="F370" s="365"/>
      <c r="G370" s="366"/>
      <c r="H370" s="367"/>
      <c r="I370" s="367"/>
      <c r="J370" s="360"/>
      <c r="K370" s="360"/>
    </row>
    <row r="371" spans="2:11" ht="31.5" customHeight="1">
      <c r="B371" s="369"/>
      <c r="C371" s="356"/>
      <c r="D371" s="356"/>
      <c r="E371" s="364"/>
      <c r="F371" s="365"/>
      <c r="G371" s="366"/>
      <c r="H371" s="367"/>
      <c r="I371" s="367"/>
      <c r="J371" s="360"/>
      <c r="K371" s="360"/>
    </row>
    <row r="372" spans="2:11" ht="31.5" customHeight="1">
      <c r="B372" s="369"/>
      <c r="C372" s="356"/>
      <c r="D372" s="356"/>
      <c r="E372" s="364"/>
      <c r="F372" s="365"/>
      <c r="G372" s="366"/>
      <c r="H372" s="367"/>
      <c r="I372" s="367"/>
      <c r="J372" s="360"/>
      <c r="K372" s="360"/>
    </row>
    <row r="373" spans="2:11" ht="31.5" customHeight="1">
      <c r="B373" s="369"/>
      <c r="C373" s="356"/>
      <c r="D373" s="356"/>
      <c r="E373" s="364"/>
      <c r="F373" s="365"/>
      <c r="G373" s="366"/>
      <c r="H373" s="367"/>
      <c r="I373" s="367"/>
      <c r="J373" s="360"/>
      <c r="K373" s="360"/>
    </row>
    <row r="374" spans="2:11" ht="31.5" customHeight="1">
      <c r="B374" s="369"/>
      <c r="C374" s="356"/>
      <c r="D374" s="356"/>
      <c r="E374" s="364"/>
      <c r="F374" s="365"/>
      <c r="G374" s="366"/>
      <c r="H374" s="367"/>
      <c r="I374" s="367"/>
      <c r="J374" s="360"/>
      <c r="K374" s="360"/>
    </row>
    <row r="375" spans="2:11" ht="31.5" customHeight="1">
      <c r="B375" s="369"/>
      <c r="C375" s="356"/>
      <c r="D375" s="356"/>
      <c r="E375" s="364"/>
      <c r="F375" s="365"/>
      <c r="G375" s="366"/>
      <c r="H375" s="367"/>
      <c r="I375" s="367"/>
      <c r="J375" s="360"/>
      <c r="K375" s="360"/>
    </row>
    <row r="376" spans="2:11" ht="31.5" customHeight="1">
      <c r="B376" s="369"/>
      <c r="C376" s="356"/>
      <c r="D376" s="356"/>
      <c r="E376" s="364"/>
      <c r="F376" s="365"/>
      <c r="G376" s="366"/>
      <c r="H376" s="367"/>
      <c r="I376" s="367"/>
      <c r="J376" s="360"/>
      <c r="K376" s="360"/>
    </row>
    <row r="377" spans="2:11" ht="31.5" customHeight="1">
      <c r="B377" s="369"/>
      <c r="C377" s="356"/>
      <c r="D377" s="356"/>
      <c r="E377" s="364"/>
      <c r="F377" s="365"/>
      <c r="G377" s="366"/>
      <c r="H377" s="367"/>
      <c r="I377" s="367"/>
      <c r="J377" s="360"/>
      <c r="K377" s="360"/>
    </row>
    <row r="378" spans="2:11" ht="31.5" customHeight="1">
      <c r="B378" s="369"/>
      <c r="C378" s="356"/>
      <c r="D378" s="356"/>
      <c r="E378" s="364"/>
      <c r="F378" s="365"/>
      <c r="G378" s="366"/>
      <c r="H378" s="367"/>
      <c r="I378" s="367"/>
      <c r="J378" s="360"/>
      <c r="K378" s="360"/>
    </row>
    <row r="379" spans="2:11" ht="31.5" customHeight="1">
      <c r="B379" s="369"/>
      <c r="C379" s="356"/>
      <c r="D379" s="356"/>
      <c r="E379" s="364"/>
      <c r="F379" s="365"/>
      <c r="G379" s="366"/>
      <c r="H379" s="367"/>
      <c r="I379" s="367"/>
      <c r="J379" s="360"/>
      <c r="K379" s="360"/>
    </row>
    <row r="380" spans="2:11" ht="31.5" customHeight="1">
      <c r="B380" s="369"/>
      <c r="C380" s="356"/>
      <c r="D380" s="356"/>
      <c r="E380" s="364"/>
      <c r="F380" s="365"/>
      <c r="G380" s="366"/>
      <c r="H380" s="367"/>
      <c r="I380" s="367"/>
      <c r="J380" s="360"/>
      <c r="K380" s="360"/>
    </row>
    <row r="381" spans="2:11" ht="31.5" customHeight="1">
      <c r="B381" s="369"/>
      <c r="C381" s="356"/>
      <c r="D381" s="356"/>
      <c r="E381" s="364"/>
      <c r="F381" s="365"/>
      <c r="G381" s="366"/>
      <c r="H381" s="367"/>
      <c r="I381" s="367"/>
      <c r="J381" s="360"/>
      <c r="K381" s="360"/>
    </row>
    <row r="382" spans="2:11" ht="31.5" customHeight="1">
      <c r="B382" s="369"/>
      <c r="C382" s="356"/>
      <c r="D382" s="356"/>
      <c r="E382" s="364"/>
      <c r="F382" s="365"/>
      <c r="G382" s="366"/>
      <c r="H382" s="367"/>
      <c r="I382" s="367"/>
      <c r="J382" s="360"/>
      <c r="K382" s="360"/>
    </row>
    <row r="383" spans="2:11" ht="31.5" customHeight="1">
      <c r="B383" s="369"/>
      <c r="C383" s="356"/>
      <c r="D383" s="356"/>
      <c r="E383" s="364"/>
      <c r="F383" s="365"/>
      <c r="G383" s="366"/>
      <c r="H383" s="367"/>
      <c r="I383" s="367"/>
      <c r="J383" s="360"/>
      <c r="K383" s="360"/>
    </row>
    <row r="384" spans="2:11" ht="31.5" customHeight="1">
      <c r="B384" s="369"/>
      <c r="C384" s="356"/>
      <c r="D384" s="356"/>
      <c r="E384" s="364"/>
      <c r="F384" s="365"/>
      <c r="G384" s="366"/>
      <c r="H384" s="367"/>
      <c r="I384" s="367"/>
      <c r="J384" s="360"/>
      <c r="K384" s="360"/>
    </row>
    <row r="385" spans="2:11" ht="31.5" customHeight="1">
      <c r="B385" s="369"/>
      <c r="C385" s="356"/>
      <c r="D385" s="356"/>
      <c r="E385" s="364"/>
      <c r="F385" s="365"/>
      <c r="G385" s="366"/>
      <c r="H385" s="367"/>
      <c r="I385" s="367"/>
      <c r="J385" s="360"/>
      <c r="K385" s="360"/>
    </row>
    <row r="386" spans="2:11" ht="31.5" customHeight="1">
      <c r="B386" s="369"/>
      <c r="C386" s="356"/>
      <c r="D386" s="356"/>
      <c r="E386" s="364"/>
      <c r="F386" s="365"/>
      <c r="G386" s="366"/>
      <c r="H386" s="367"/>
      <c r="I386" s="367"/>
      <c r="J386" s="360"/>
      <c r="K386" s="360"/>
    </row>
    <row r="387" spans="2:11" ht="31.5" customHeight="1">
      <c r="B387" s="369"/>
      <c r="C387" s="356"/>
      <c r="D387" s="356"/>
      <c r="E387" s="364"/>
      <c r="F387" s="365"/>
      <c r="G387" s="366"/>
      <c r="H387" s="367"/>
      <c r="I387" s="367"/>
      <c r="J387" s="360"/>
      <c r="K387" s="360"/>
    </row>
    <row r="388" spans="2:11" ht="31.5" customHeight="1">
      <c r="B388" s="369"/>
      <c r="C388" s="356"/>
      <c r="D388" s="356"/>
      <c r="E388" s="364"/>
      <c r="F388" s="365"/>
      <c r="G388" s="366"/>
      <c r="H388" s="367"/>
      <c r="I388" s="367"/>
      <c r="J388" s="360"/>
      <c r="K388" s="360"/>
    </row>
    <row r="389" spans="2:11" ht="31.5" customHeight="1">
      <c r="B389" s="369"/>
      <c r="C389" s="356"/>
      <c r="D389" s="356"/>
      <c r="E389" s="364"/>
      <c r="F389" s="365"/>
      <c r="G389" s="366"/>
      <c r="H389" s="367"/>
      <c r="I389" s="367"/>
      <c r="J389" s="360"/>
      <c r="K389" s="360"/>
    </row>
    <row r="390" spans="2:11" ht="31.5" customHeight="1">
      <c r="B390" s="369"/>
      <c r="C390" s="356"/>
      <c r="D390" s="356"/>
      <c r="E390" s="364"/>
      <c r="F390" s="365"/>
      <c r="G390" s="366"/>
      <c r="H390" s="367"/>
      <c r="I390" s="367"/>
      <c r="J390" s="360"/>
      <c r="K390" s="360"/>
    </row>
    <row r="391" spans="2:11" ht="31.5" customHeight="1">
      <c r="B391" s="369"/>
      <c r="C391" s="356"/>
      <c r="D391" s="356"/>
      <c r="E391" s="364"/>
      <c r="F391" s="365"/>
      <c r="G391" s="366"/>
      <c r="H391" s="367"/>
      <c r="I391" s="367"/>
      <c r="J391" s="360"/>
      <c r="K391" s="360"/>
    </row>
    <row r="392" spans="2:11" ht="31.5" customHeight="1">
      <c r="B392" s="369"/>
      <c r="C392" s="356"/>
      <c r="D392" s="356"/>
      <c r="E392" s="364"/>
      <c r="F392" s="365"/>
      <c r="G392" s="366"/>
      <c r="H392" s="367"/>
      <c r="I392" s="367"/>
      <c r="J392" s="360"/>
      <c r="K392" s="360"/>
    </row>
    <row r="393" spans="2:11" ht="31.5" customHeight="1">
      <c r="B393" s="369"/>
      <c r="C393" s="356"/>
      <c r="D393" s="356"/>
      <c r="E393" s="364"/>
      <c r="F393" s="365"/>
      <c r="G393" s="366"/>
      <c r="H393" s="367"/>
      <c r="I393" s="367"/>
      <c r="J393" s="360"/>
      <c r="K393" s="360"/>
    </row>
    <row r="394" spans="2:11" ht="31.5" customHeight="1">
      <c r="B394" s="369"/>
      <c r="C394" s="356"/>
      <c r="D394" s="356"/>
      <c r="E394" s="364"/>
      <c r="F394" s="365"/>
      <c r="G394" s="366"/>
      <c r="H394" s="367"/>
      <c r="I394" s="367"/>
      <c r="J394" s="360"/>
      <c r="K394" s="360"/>
    </row>
    <row r="395" spans="2:11" ht="31.5" customHeight="1">
      <c r="B395" s="369"/>
      <c r="C395" s="356"/>
      <c r="D395" s="356"/>
      <c r="E395" s="364"/>
      <c r="F395" s="365"/>
      <c r="G395" s="366"/>
      <c r="H395" s="367"/>
      <c r="I395" s="367"/>
      <c r="J395" s="360"/>
      <c r="K395" s="360"/>
    </row>
    <row r="396" spans="2:11" ht="31.5" customHeight="1">
      <c r="B396" s="369"/>
      <c r="C396" s="356"/>
      <c r="D396" s="356"/>
      <c r="E396" s="364"/>
      <c r="F396" s="365"/>
      <c r="G396" s="366"/>
      <c r="H396" s="367"/>
      <c r="I396" s="367"/>
      <c r="J396" s="360"/>
      <c r="K396" s="360"/>
    </row>
    <row r="397" spans="2:11" ht="31.5" customHeight="1">
      <c r="B397" s="369"/>
      <c r="C397" s="356"/>
      <c r="D397" s="356"/>
      <c r="E397" s="364"/>
      <c r="F397" s="365"/>
      <c r="G397" s="366"/>
      <c r="H397" s="367"/>
      <c r="I397" s="367"/>
      <c r="J397" s="360"/>
      <c r="K397" s="360"/>
    </row>
    <row r="398" spans="2:11" ht="31.5" customHeight="1">
      <c r="B398" s="369"/>
      <c r="C398" s="356"/>
      <c r="D398" s="356"/>
      <c r="E398" s="364"/>
      <c r="F398" s="365"/>
      <c r="G398" s="366"/>
      <c r="H398" s="367"/>
      <c r="I398" s="367"/>
      <c r="J398" s="360"/>
      <c r="K398" s="360"/>
    </row>
    <row r="399" spans="2:11" ht="31.5" customHeight="1">
      <c r="B399" s="369"/>
      <c r="C399" s="356"/>
      <c r="D399" s="356"/>
      <c r="E399" s="364"/>
      <c r="F399" s="365"/>
      <c r="G399" s="366"/>
      <c r="H399" s="367"/>
      <c r="I399" s="367"/>
      <c r="J399" s="360"/>
      <c r="K399" s="360"/>
    </row>
    <row r="400" spans="2:11" ht="31.5" customHeight="1">
      <c r="B400" s="369"/>
      <c r="C400" s="356"/>
      <c r="D400" s="356"/>
      <c r="E400" s="364"/>
      <c r="F400" s="365"/>
      <c r="G400" s="366"/>
      <c r="H400" s="367"/>
      <c r="I400" s="367"/>
      <c r="J400" s="360"/>
      <c r="K400" s="360"/>
    </row>
    <row r="401" spans="2:11" ht="31.5" customHeight="1">
      <c r="B401" s="369"/>
      <c r="C401" s="356"/>
      <c r="D401" s="356"/>
      <c r="E401" s="364"/>
      <c r="F401" s="365"/>
      <c r="G401" s="366"/>
      <c r="H401" s="367"/>
      <c r="I401" s="367"/>
      <c r="J401" s="360"/>
      <c r="K401" s="360"/>
    </row>
    <row r="402" spans="2:11" ht="31.5" customHeight="1">
      <c r="B402" s="369"/>
      <c r="C402" s="356"/>
      <c r="D402" s="356"/>
      <c r="E402" s="364"/>
      <c r="F402" s="365"/>
      <c r="G402" s="366"/>
      <c r="H402" s="367"/>
      <c r="I402" s="367"/>
      <c r="J402" s="360"/>
      <c r="K402" s="360"/>
    </row>
    <row r="403" spans="2:11" ht="31.5" customHeight="1">
      <c r="B403" s="369"/>
      <c r="C403" s="356"/>
      <c r="D403" s="356"/>
      <c r="E403" s="364"/>
      <c r="F403" s="365"/>
      <c r="G403" s="366"/>
      <c r="H403" s="367"/>
      <c r="I403" s="367"/>
      <c r="J403" s="360"/>
      <c r="K403" s="360"/>
    </row>
    <row r="404" spans="2:11" ht="31.5" customHeight="1">
      <c r="B404" s="369"/>
      <c r="C404" s="356"/>
      <c r="D404" s="356"/>
      <c r="E404" s="364"/>
      <c r="F404" s="365"/>
      <c r="G404" s="366"/>
      <c r="H404" s="367"/>
      <c r="I404" s="367"/>
      <c r="J404" s="360"/>
      <c r="K404" s="360"/>
    </row>
    <row r="405" spans="2:11" ht="31.5" customHeight="1">
      <c r="B405" s="369"/>
      <c r="C405" s="356"/>
      <c r="D405" s="356"/>
      <c r="E405" s="364"/>
      <c r="F405" s="365"/>
      <c r="G405" s="366"/>
      <c r="H405" s="367"/>
      <c r="I405" s="367"/>
      <c r="J405" s="360"/>
      <c r="K405" s="360"/>
    </row>
    <row r="406" spans="2:11" ht="31.5" customHeight="1">
      <c r="B406" s="369"/>
      <c r="C406" s="356"/>
      <c r="D406" s="356"/>
      <c r="E406" s="364"/>
      <c r="F406" s="365"/>
      <c r="G406" s="366"/>
      <c r="H406" s="367"/>
      <c r="I406" s="367"/>
      <c r="J406" s="360"/>
      <c r="K406" s="360"/>
    </row>
    <row r="407" spans="2:11" ht="31.5" customHeight="1">
      <c r="B407" s="369"/>
      <c r="C407" s="356"/>
      <c r="D407" s="356"/>
      <c r="E407" s="364"/>
      <c r="F407" s="365"/>
      <c r="G407" s="366"/>
      <c r="H407" s="367"/>
      <c r="I407" s="367"/>
      <c r="J407" s="360"/>
      <c r="K407" s="360"/>
    </row>
    <row r="408" spans="2:11" ht="31.5" customHeight="1">
      <c r="B408" s="369"/>
      <c r="C408" s="356"/>
      <c r="D408" s="356"/>
      <c r="E408" s="364"/>
      <c r="F408" s="365"/>
      <c r="G408" s="366"/>
      <c r="H408" s="367"/>
      <c r="I408" s="367"/>
      <c r="J408" s="360"/>
      <c r="K408" s="360"/>
    </row>
    <row r="409" spans="2:11" ht="31.5" customHeight="1">
      <c r="B409" s="369"/>
      <c r="C409" s="356"/>
      <c r="D409" s="356"/>
      <c r="E409" s="364"/>
      <c r="F409" s="365"/>
      <c r="G409" s="366"/>
      <c r="H409" s="367"/>
      <c r="I409" s="367"/>
      <c r="J409" s="360"/>
      <c r="K409" s="360"/>
    </row>
    <row r="410" spans="2:11" ht="31.5" customHeight="1">
      <c r="B410" s="369"/>
      <c r="C410" s="356"/>
      <c r="D410" s="356"/>
      <c r="E410" s="364"/>
      <c r="F410" s="365"/>
      <c r="G410" s="366"/>
      <c r="H410" s="367"/>
      <c r="I410" s="367"/>
      <c r="J410" s="360"/>
      <c r="K410" s="360"/>
    </row>
    <row r="411" spans="2:11" ht="31.5" customHeight="1">
      <c r="B411" s="369"/>
      <c r="C411" s="356"/>
      <c r="D411" s="356"/>
      <c r="E411" s="364"/>
      <c r="F411" s="365"/>
      <c r="G411" s="366"/>
      <c r="H411" s="367"/>
      <c r="I411" s="367"/>
      <c r="J411" s="360"/>
      <c r="K411" s="360"/>
    </row>
    <row r="412" spans="2:11" ht="31.5" customHeight="1">
      <c r="B412" s="369"/>
      <c r="C412" s="356"/>
      <c r="D412" s="356"/>
      <c r="E412" s="364"/>
      <c r="F412" s="365"/>
      <c r="G412" s="366"/>
      <c r="H412" s="367"/>
      <c r="I412" s="367"/>
      <c r="J412" s="360"/>
      <c r="K412" s="360"/>
    </row>
    <row r="413" spans="2:11" ht="31.5" customHeight="1">
      <c r="B413" s="369"/>
      <c r="C413" s="356"/>
      <c r="D413" s="356"/>
      <c r="E413" s="364"/>
      <c r="F413" s="365"/>
      <c r="G413" s="366"/>
      <c r="H413" s="367"/>
      <c r="I413" s="367"/>
      <c r="J413" s="360"/>
      <c r="K413" s="360"/>
    </row>
    <row r="414" spans="2:11" ht="31.5" customHeight="1">
      <c r="B414" s="369"/>
      <c r="C414" s="356"/>
      <c r="D414" s="356"/>
      <c r="E414" s="364"/>
      <c r="F414" s="365"/>
      <c r="G414" s="366"/>
      <c r="H414" s="367"/>
      <c r="I414" s="367"/>
      <c r="J414" s="360"/>
      <c r="K414" s="360"/>
    </row>
    <row r="415" spans="2:11" ht="31.5" customHeight="1">
      <c r="B415" s="369"/>
      <c r="C415" s="356"/>
      <c r="D415" s="356"/>
      <c r="E415" s="364"/>
      <c r="F415" s="365"/>
      <c r="G415" s="366"/>
      <c r="H415" s="367"/>
      <c r="I415" s="367"/>
      <c r="J415" s="360"/>
      <c r="K415" s="360"/>
    </row>
    <row r="416" spans="2:11" ht="31.5" customHeight="1">
      <c r="B416" s="369"/>
      <c r="C416" s="356"/>
      <c r="D416" s="356"/>
      <c r="E416" s="364"/>
      <c r="F416" s="365"/>
      <c r="G416" s="366"/>
      <c r="H416" s="367"/>
      <c r="I416" s="367"/>
      <c r="J416" s="360"/>
      <c r="K416" s="360"/>
    </row>
    <row r="417" spans="2:11" ht="31.5" customHeight="1">
      <c r="B417" s="369"/>
      <c r="C417" s="356"/>
      <c r="D417" s="356"/>
      <c r="E417" s="364"/>
      <c r="F417" s="365"/>
      <c r="G417" s="366"/>
      <c r="H417" s="367"/>
      <c r="I417" s="367"/>
      <c r="J417" s="360"/>
      <c r="K417" s="360"/>
    </row>
    <row r="418" spans="2:11" ht="31.5" customHeight="1">
      <c r="B418" s="369"/>
      <c r="C418" s="356"/>
      <c r="D418" s="356"/>
      <c r="E418" s="364"/>
      <c r="F418" s="365"/>
      <c r="G418" s="366"/>
      <c r="H418" s="367"/>
      <c r="I418" s="367"/>
      <c r="J418" s="360"/>
      <c r="K418" s="360"/>
    </row>
    <row r="419" spans="2:11" ht="31.5" customHeight="1">
      <c r="B419" s="369"/>
      <c r="C419" s="356"/>
      <c r="D419" s="356"/>
      <c r="E419" s="364"/>
      <c r="F419" s="365"/>
      <c r="G419" s="366"/>
      <c r="H419" s="367"/>
      <c r="I419" s="367"/>
      <c r="J419" s="360"/>
      <c r="K419" s="360"/>
    </row>
    <row r="420" spans="2:11" ht="31.5" customHeight="1">
      <c r="B420" s="369"/>
      <c r="C420" s="356"/>
      <c r="D420" s="356"/>
      <c r="E420" s="364"/>
      <c r="F420" s="365"/>
      <c r="G420" s="366"/>
      <c r="H420" s="367"/>
      <c r="I420" s="367"/>
      <c r="J420" s="360"/>
      <c r="K420" s="360"/>
    </row>
    <row r="421" spans="2:11" ht="31.5" customHeight="1">
      <c r="B421" s="369"/>
      <c r="C421" s="356"/>
      <c r="D421" s="356"/>
      <c r="E421" s="364"/>
      <c r="F421" s="365"/>
      <c r="G421" s="366"/>
      <c r="H421" s="367"/>
      <c r="I421" s="367"/>
      <c r="J421" s="360"/>
      <c r="K421" s="360"/>
    </row>
    <row r="422" spans="2:11" ht="31.5" customHeight="1">
      <c r="B422" s="369"/>
      <c r="C422" s="356"/>
      <c r="D422" s="356"/>
      <c r="E422" s="364"/>
      <c r="F422" s="365"/>
      <c r="G422" s="366"/>
      <c r="H422" s="367"/>
      <c r="I422" s="367"/>
      <c r="J422" s="360"/>
      <c r="K422" s="360"/>
    </row>
    <row r="423" spans="2:11" ht="31.5" customHeight="1">
      <c r="B423" s="369"/>
      <c r="C423" s="356"/>
      <c r="D423" s="356"/>
      <c r="E423" s="364"/>
      <c r="F423" s="365"/>
      <c r="G423" s="366"/>
      <c r="H423" s="367"/>
      <c r="I423" s="367"/>
      <c r="J423" s="360"/>
      <c r="K423" s="360"/>
    </row>
    <row r="424" spans="2:11" ht="31.5" customHeight="1">
      <c r="B424" s="369"/>
      <c r="C424" s="356"/>
      <c r="D424" s="356"/>
      <c r="E424" s="364"/>
      <c r="F424" s="365"/>
      <c r="G424" s="366"/>
      <c r="H424" s="367"/>
      <c r="I424" s="367"/>
      <c r="J424" s="360"/>
      <c r="K424" s="360"/>
    </row>
    <row r="425" spans="2:11" ht="31.5" customHeight="1">
      <c r="B425" s="369"/>
      <c r="C425" s="356"/>
      <c r="D425" s="356"/>
      <c r="E425" s="364"/>
      <c r="F425" s="365"/>
      <c r="G425" s="366"/>
      <c r="H425" s="367"/>
      <c r="I425" s="367"/>
      <c r="J425" s="360"/>
      <c r="K425" s="360"/>
    </row>
    <row r="426" spans="2:11" ht="31.5" customHeight="1">
      <c r="B426" s="369"/>
      <c r="C426" s="356"/>
      <c r="D426" s="356"/>
      <c r="E426" s="364"/>
      <c r="F426" s="365"/>
      <c r="G426" s="366"/>
      <c r="H426" s="367"/>
      <c r="I426" s="367"/>
      <c r="J426" s="360"/>
      <c r="K426" s="360"/>
    </row>
    <row r="427" spans="2:11" ht="31.5" customHeight="1">
      <c r="B427" s="369"/>
      <c r="C427" s="356"/>
      <c r="D427" s="356"/>
      <c r="E427" s="364"/>
      <c r="F427" s="365"/>
      <c r="G427" s="366"/>
      <c r="H427" s="367"/>
      <c r="I427" s="367"/>
      <c r="J427" s="360"/>
      <c r="K427" s="360"/>
    </row>
    <row r="428" spans="2:11" ht="31.5" customHeight="1">
      <c r="B428" s="369"/>
      <c r="C428" s="356"/>
      <c r="D428" s="356"/>
      <c r="E428" s="364"/>
      <c r="F428" s="365"/>
      <c r="G428" s="366"/>
      <c r="H428" s="367"/>
      <c r="I428" s="367"/>
      <c r="J428" s="360"/>
      <c r="K428" s="360"/>
    </row>
    <row r="429" spans="2:11" ht="31.5" customHeight="1">
      <c r="B429" s="369"/>
      <c r="C429" s="356"/>
      <c r="D429" s="356"/>
      <c r="E429" s="364"/>
      <c r="F429" s="365"/>
      <c r="G429" s="366"/>
      <c r="H429" s="367"/>
      <c r="I429" s="367"/>
      <c r="J429" s="360"/>
      <c r="K429" s="360"/>
    </row>
    <row r="430" spans="2:11" ht="31.5" customHeight="1">
      <c r="B430" s="369"/>
      <c r="C430" s="356"/>
      <c r="D430" s="356"/>
      <c r="E430" s="364"/>
      <c r="F430" s="365"/>
      <c r="G430" s="366"/>
      <c r="H430" s="367"/>
      <c r="I430" s="367"/>
      <c r="J430" s="360"/>
      <c r="K430" s="360"/>
    </row>
    <row r="431" spans="2:11" ht="31.5" customHeight="1">
      <c r="B431" s="369"/>
      <c r="C431" s="356"/>
      <c r="D431" s="356"/>
      <c r="E431" s="364"/>
      <c r="F431" s="365"/>
      <c r="G431" s="366"/>
      <c r="H431" s="367"/>
      <c r="I431" s="367"/>
      <c r="J431" s="360"/>
      <c r="K431" s="360"/>
    </row>
    <row r="432" spans="2:11" ht="31.5" customHeight="1">
      <c r="B432" s="369"/>
      <c r="C432" s="356"/>
      <c r="D432" s="356"/>
      <c r="E432" s="364"/>
      <c r="F432" s="365"/>
      <c r="G432" s="366"/>
      <c r="H432" s="367"/>
      <c r="I432" s="367"/>
      <c r="J432" s="360"/>
      <c r="K432" s="360"/>
    </row>
    <row r="433" spans="2:11" ht="31.5" customHeight="1">
      <c r="B433" s="369"/>
      <c r="C433" s="356"/>
      <c r="D433" s="356"/>
      <c r="E433" s="364"/>
      <c r="F433" s="365"/>
      <c r="G433" s="366"/>
      <c r="H433" s="367"/>
      <c r="I433" s="367"/>
      <c r="J433" s="360"/>
      <c r="K433" s="360"/>
    </row>
    <row r="434" spans="2:11" ht="31.5" customHeight="1">
      <c r="B434" s="369"/>
      <c r="C434" s="356"/>
      <c r="D434" s="356"/>
      <c r="E434" s="364"/>
      <c r="F434" s="365"/>
      <c r="G434" s="366"/>
      <c r="H434" s="367"/>
      <c r="I434" s="367"/>
      <c r="J434" s="360"/>
      <c r="K434" s="360"/>
    </row>
    <row r="435" spans="2:11" ht="31.5" customHeight="1">
      <c r="B435" s="369"/>
      <c r="C435" s="356"/>
      <c r="D435" s="356"/>
      <c r="E435" s="364"/>
      <c r="F435" s="365"/>
      <c r="G435" s="366"/>
      <c r="H435" s="367"/>
      <c r="I435" s="367"/>
      <c r="J435" s="360"/>
      <c r="K435" s="360"/>
    </row>
    <row r="436" spans="2:11" ht="31.5" customHeight="1">
      <c r="B436" s="369"/>
      <c r="C436" s="356"/>
      <c r="D436" s="356"/>
      <c r="E436" s="364"/>
      <c r="F436" s="365"/>
      <c r="G436" s="366"/>
      <c r="H436" s="367"/>
      <c r="I436" s="367"/>
      <c r="J436" s="360"/>
      <c r="K436" s="360"/>
    </row>
    <row r="437" spans="2:11" ht="31.5" customHeight="1">
      <c r="B437" s="369"/>
      <c r="C437" s="356"/>
      <c r="D437" s="356"/>
      <c r="E437" s="364"/>
      <c r="F437" s="365"/>
      <c r="G437" s="366"/>
      <c r="H437" s="367"/>
      <c r="I437" s="367"/>
      <c r="J437" s="360"/>
      <c r="K437" s="360"/>
    </row>
    <row r="438" spans="2:11" ht="31.5" customHeight="1">
      <c r="B438" s="369"/>
      <c r="C438" s="356"/>
      <c r="D438" s="356"/>
      <c r="E438" s="364"/>
      <c r="F438" s="365"/>
      <c r="G438" s="366"/>
      <c r="H438" s="367"/>
      <c r="I438" s="367"/>
      <c r="J438" s="360"/>
      <c r="K438" s="360"/>
    </row>
    <row r="439" spans="2:11" ht="31.5" customHeight="1">
      <c r="B439" s="369"/>
      <c r="C439" s="356"/>
      <c r="D439" s="356"/>
      <c r="E439" s="364"/>
      <c r="F439" s="365"/>
      <c r="G439" s="366"/>
      <c r="H439" s="367"/>
      <c r="I439" s="367"/>
      <c r="J439" s="360"/>
      <c r="K439" s="360"/>
    </row>
    <row r="440" spans="2:11" ht="31.5" customHeight="1">
      <c r="B440" s="369"/>
      <c r="C440" s="356"/>
      <c r="D440" s="356"/>
      <c r="E440" s="364"/>
      <c r="F440" s="365"/>
      <c r="G440" s="366"/>
      <c r="H440" s="367"/>
      <c r="I440" s="367"/>
      <c r="J440" s="360"/>
      <c r="K440" s="360"/>
    </row>
    <row r="441" spans="2:11" ht="31.5" customHeight="1">
      <c r="B441" s="369"/>
      <c r="C441" s="356"/>
      <c r="D441" s="356"/>
      <c r="E441" s="364"/>
      <c r="F441" s="365"/>
      <c r="G441" s="366"/>
      <c r="H441" s="367"/>
      <c r="I441" s="367"/>
      <c r="J441" s="360"/>
      <c r="K441" s="360"/>
    </row>
    <row r="442" spans="2:11" ht="31.5" customHeight="1">
      <c r="B442" s="369"/>
      <c r="C442" s="356"/>
      <c r="D442" s="356"/>
      <c r="E442" s="364"/>
      <c r="F442" s="365"/>
      <c r="G442" s="366"/>
      <c r="H442" s="367"/>
      <c r="I442" s="367"/>
      <c r="J442" s="360"/>
      <c r="K442" s="360"/>
    </row>
    <row r="443" spans="2:11" ht="31.5" customHeight="1">
      <c r="B443" s="369"/>
      <c r="C443" s="356"/>
      <c r="D443" s="356"/>
      <c r="E443" s="364"/>
      <c r="F443" s="365"/>
      <c r="G443" s="366"/>
      <c r="H443" s="367"/>
      <c r="I443" s="367"/>
      <c r="J443" s="360"/>
      <c r="K443" s="360"/>
    </row>
    <row r="444" spans="2:11" ht="31.5" customHeight="1">
      <c r="B444" s="369"/>
      <c r="C444" s="356"/>
      <c r="D444" s="356"/>
      <c r="E444" s="364"/>
      <c r="F444" s="365"/>
      <c r="G444" s="366"/>
      <c r="H444" s="367"/>
      <c r="I444" s="367"/>
      <c r="J444" s="360"/>
      <c r="K444" s="360"/>
    </row>
    <row r="445" spans="2:11" ht="31.5" customHeight="1">
      <c r="B445" s="369"/>
      <c r="C445" s="356"/>
      <c r="D445" s="356"/>
      <c r="E445" s="364"/>
      <c r="F445" s="365"/>
      <c r="G445" s="366"/>
      <c r="H445" s="367"/>
      <c r="I445" s="367"/>
      <c r="J445" s="360"/>
      <c r="K445" s="360"/>
    </row>
    <row r="446" spans="2:11" ht="31.5" customHeight="1">
      <c r="B446" s="369"/>
      <c r="C446" s="356"/>
      <c r="D446" s="356"/>
      <c r="E446" s="364"/>
      <c r="F446" s="365"/>
      <c r="G446" s="366"/>
      <c r="H446" s="367"/>
      <c r="I446" s="367"/>
      <c r="J446" s="360"/>
      <c r="K446" s="360"/>
    </row>
    <row r="447" spans="2:11" ht="31.5" customHeight="1">
      <c r="B447" s="369"/>
      <c r="C447" s="356"/>
      <c r="D447" s="356"/>
      <c r="E447" s="364"/>
      <c r="F447" s="365"/>
      <c r="G447" s="366"/>
      <c r="H447" s="367"/>
      <c r="I447" s="367"/>
      <c r="J447" s="360"/>
      <c r="K447" s="360"/>
    </row>
    <row r="448" spans="2:11" ht="31.5" customHeight="1">
      <c r="B448" s="369"/>
      <c r="C448" s="356"/>
      <c r="D448" s="356"/>
      <c r="E448" s="364"/>
      <c r="F448" s="365"/>
      <c r="G448" s="366"/>
      <c r="H448" s="367"/>
      <c r="I448" s="367"/>
      <c r="J448" s="360"/>
      <c r="K448" s="360"/>
    </row>
    <row r="449" spans="2:11" ht="31.5" customHeight="1">
      <c r="B449" s="369"/>
      <c r="C449" s="356"/>
      <c r="D449" s="356"/>
      <c r="E449" s="364"/>
      <c r="F449" s="365"/>
      <c r="G449" s="366"/>
      <c r="H449" s="367"/>
      <c r="I449" s="367"/>
      <c r="J449" s="360"/>
      <c r="K449" s="360"/>
    </row>
    <row r="450" spans="2:11" ht="31.5" customHeight="1">
      <c r="B450" s="369"/>
      <c r="C450" s="356"/>
      <c r="D450" s="356"/>
      <c r="E450" s="364"/>
      <c r="F450" s="365"/>
      <c r="G450" s="366"/>
      <c r="H450" s="367"/>
      <c r="I450" s="367"/>
      <c r="J450" s="360"/>
      <c r="K450" s="360"/>
    </row>
    <row r="451" spans="2:11" ht="31.5" customHeight="1">
      <c r="B451" s="369"/>
      <c r="C451" s="356"/>
      <c r="D451" s="356"/>
      <c r="E451" s="364"/>
      <c r="F451" s="365"/>
      <c r="G451" s="366"/>
      <c r="H451" s="367"/>
      <c r="I451" s="367"/>
      <c r="J451" s="360"/>
      <c r="K451" s="360"/>
    </row>
    <row r="452" spans="2:11" ht="31.5" customHeight="1">
      <c r="B452" s="369"/>
      <c r="C452" s="356"/>
      <c r="D452" s="356"/>
      <c r="E452" s="364"/>
      <c r="F452" s="365"/>
      <c r="G452" s="366"/>
      <c r="H452" s="367"/>
      <c r="I452" s="367"/>
      <c r="J452" s="360"/>
      <c r="K452" s="360"/>
    </row>
    <row r="453" spans="2:11" ht="31.5" customHeight="1">
      <c r="B453" s="369"/>
      <c r="C453" s="356"/>
      <c r="D453" s="356"/>
      <c r="E453" s="364"/>
      <c r="F453" s="365"/>
      <c r="G453" s="366"/>
      <c r="H453" s="367"/>
      <c r="I453" s="367"/>
      <c r="J453" s="360"/>
      <c r="K453" s="360"/>
    </row>
    <row r="454" spans="2:11" ht="31.5" customHeight="1">
      <c r="B454" s="369"/>
      <c r="C454" s="356"/>
      <c r="D454" s="356"/>
      <c r="E454" s="364"/>
      <c r="F454" s="365"/>
      <c r="G454" s="366"/>
      <c r="H454" s="367"/>
      <c r="I454" s="367"/>
      <c r="J454" s="360"/>
      <c r="K454" s="360"/>
    </row>
    <row r="455" spans="2:11" ht="31.5" customHeight="1">
      <c r="B455" s="369"/>
      <c r="C455" s="356"/>
      <c r="D455" s="356"/>
      <c r="E455" s="364"/>
      <c r="F455" s="365"/>
      <c r="G455" s="366"/>
      <c r="H455" s="367"/>
      <c r="I455" s="367"/>
      <c r="J455" s="360"/>
      <c r="K455" s="360"/>
    </row>
    <row r="456" spans="2:11" ht="31.5" customHeight="1">
      <c r="B456" s="369"/>
      <c r="C456" s="356"/>
      <c r="D456" s="356"/>
      <c r="E456" s="364"/>
      <c r="F456" s="365"/>
      <c r="G456" s="366"/>
      <c r="H456" s="367"/>
      <c r="I456" s="367"/>
      <c r="J456" s="360"/>
      <c r="K456" s="360"/>
    </row>
    <row r="457" spans="2:11" ht="31.5" customHeight="1">
      <c r="B457" s="369"/>
      <c r="C457" s="356"/>
      <c r="D457" s="356"/>
      <c r="E457" s="364"/>
      <c r="F457" s="365"/>
      <c r="G457" s="366"/>
      <c r="H457" s="367"/>
      <c r="I457" s="367"/>
      <c r="J457" s="360"/>
      <c r="K457" s="360"/>
    </row>
    <row r="458" spans="2:11" ht="31.5" customHeight="1">
      <c r="B458" s="369"/>
      <c r="C458" s="356"/>
      <c r="D458" s="356"/>
      <c r="E458" s="364"/>
      <c r="F458" s="365"/>
      <c r="G458" s="366"/>
      <c r="H458" s="367"/>
      <c r="I458" s="367"/>
      <c r="J458" s="360"/>
      <c r="K458" s="360"/>
    </row>
    <row r="459" spans="2:11" ht="31.5" customHeight="1">
      <c r="B459" s="369"/>
      <c r="C459" s="356"/>
      <c r="D459" s="356"/>
      <c r="E459" s="364"/>
      <c r="F459" s="365"/>
      <c r="G459" s="366"/>
      <c r="H459" s="367"/>
      <c r="I459" s="367"/>
      <c r="J459" s="360"/>
      <c r="K459" s="360"/>
    </row>
    <row r="460" spans="2:11" ht="31.5" customHeight="1">
      <c r="B460" s="369"/>
      <c r="C460" s="356"/>
      <c r="D460" s="356"/>
      <c r="E460" s="364"/>
      <c r="F460" s="365"/>
      <c r="G460" s="366"/>
      <c r="H460" s="367"/>
      <c r="I460" s="367"/>
      <c r="J460" s="360"/>
      <c r="K460" s="360"/>
    </row>
    <row r="461" spans="2:11" ht="31.5" customHeight="1">
      <c r="B461" s="369"/>
      <c r="C461" s="356"/>
      <c r="D461" s="356"/>
      <c r="E461" s="364"/>
      <c r="F461" s="365"/>
      <c r="G461" s="366"/>
      <c r="H461" s="367"/>
      <c r="I461" s="367"/>
      <c r="J461" s="360"/>
      <c r="K461" s="360"/>
    </row>
    <row r="462" spans="2:11" ht="31.5" customHeight="1">
      <c r="B462" s="369"/>
      <c r="C462" s="356"/>
      <c r="D462" s="356"/>
      <c r="E462" s="364"/>
      <c r="F462" s="365"/>
      <c r="G462" s="366"/>
      <c r="H462" s="367"/>
      <c r="I462" s="367"/>
      <c r="J462" s="360"/>
      <c r="K462" s="360"/>
    </row>
    <row r="463" spans="2:11" ht="31.5" customHeight="1">
      <c r="B463" s="369"/>
      <c r="C463" s="356"/>
      <c r="D463" s="356"/>
      <c r="E463" s="364"/>
      <c r="F463" s="365"/>
      <c r="G463" s="366"/>
      <c r="H463" s="367"/>
      <c r="I463" s="367"/>
      <c r="J463" s="360"/>
      <c r="K463" s="360"/>
    </row>
    <row r="464" spans="2:11" ht="31.5" customHeight="1">
      <c r="B464" s="369"/>
      <c r="C464" s="356"/>
      <c r="D464" s="356"/>
      <c r="E464" s="364"/>
      <c r="F464" s="365"/>
      <c r="G464" s="366"/>
      <c r="H464" s="367"/>
      <c r="I464" s="367"/>
      <c r="J464" s="360"/>
      <c r="K464" s="360"/>
    </row>
    <row r="465" spans="2:11" ht="31.5" customHeight="1">
      <c r="B465" s="369"/>
      <c r="C465" s="356"/>
      <c r="D465" s="356"/>
      <c r="E465" s="364"/>
      <c r="F465" s="365"/>
      <c r="G465" s="366"/>
      <c r="H465" s="367"/>
      <c r="I465" s="367"/>
      <c r="J465" s="360"/>
      <c r="K465" s="360"/>
    </row>
    <row r="466" spans="2:11" ht="31.5" customHeight="1">
      <c r="B466" s="369"/>
      <c r="C466" s="356"/>
      <c r="D466" s="356"/>
      <c r="E466" s="364"/>
      <c r="F466" s="365"/>
      <c r="G466" s="366"/>
      <c r="H466" s="367"/>
      <c r="I466" s="367"/>
      <c r="J466" s="360"/>
      <c r="K466" s="360"/>
    </row>
    <row r="467" spans="2:11" ht="31.5" customHeight="1">
      <c r="B467" s="369"/>
      <c r="C467" s="356"/>
      <c r="D467" s="356"/>
      <c r="E467" s="364"/>
      <c r="F467" s="365"/>
      <c r="G467" s="366"/>
      <c r="H467" s="367"/>
      <c r="I467" s="367"/>
      <c r="J467" s="360"/>
      <c r="K467" s="360"/>
    </row>
    <row r="468" spans="2:11" ht="31.5" customHeight="1">
      <c r="B468" s="369"/>
      <c r="C468" s="356"/>
      <c r="D468" s="356"/>
      <c r="E468" s="364"/>
      <c r="F468" s="365"/>
      <c r="G468" s="366"/>
      <c r="H468" s="367"/>
      <c r="I468" s="367"/>
      <c r="J468" s="360"/>
      <c r="K468" s="360"/>
    </row>
    <row r="469" spans="2:11" ht="31.5" customHeight="1">
      <c r="B469" s="369"/>
      <c r="C469" s="356"/>
      <c r="D469" s="356"/>
      <c r="E469" s="364"/>
      <c r="F469" s="365"/>
      <c r="G469" s="366"/>
      <c r="H469" s="367"/>
      <c r="I469" s="367"/>
      <c r="J469" s="360"/>
      <c r="K469" s="360"/>
    </row>
    <row r="470" spans="2:11" ht="31.5" customHeight="1">
      <c r="B470" s="369"/>
      <c r="C470" s="356"/>
      <c r="D470" s="356"/>
      <c r="E470" s="364"/>
      <c r="F470" s="365"/>
      <c r="G470" s="366"/>
      <c r="H470" s="367"/>
      <c r="I470" s="367"/>
      <c r="J470" s="360"/>
      <c r="K470" s="360"/>
    </row>
    <row r="471" spans="2:11" ht="31.5" customHeight="1">
      <c r="B471" s="369"/>
      <c r="C471" s="356"/>
      <c r="D471" s="356"/>
      <c r="E471" s="364"/>
      <c r="F471" s="365"/>
      <c r="G471" s="366"/>
      <c r="H471" s="367"/>
      <c r="I471" s="367"/>
      <c r="J471" s="360"/>
      <c r="K471" s="360"/>
    </row>
    <row r="472" spans="2:11" ht="31.5" customHeight="1">
      <c r="B472" s="369"/>
      <c r="C472" s="356"/>
      <c r="D472" s="356"/>
      <c r="E472" s="364"/>
      <c r="F472" s="365"/>
      <c r="G472" s="366"/>
      <c r="H472" s="367"/>
      <c r="I472" s="367"/>
      <c r="J472" s="360"/>
      <c r="K472" s="360"/>
    </row>
    <row r="473" spans="2:11" ht="31.5" customHeight="1">
      <c r="B473" s="369"/>
      <c r="C473" s="356"/>
      <c r="D473" s="356"/>
      <c r="E473" s="364"/>
      <c r="F473" s="365"/>
      <c r="G473" s="366"/>
      <c r="H473" s="367"/>
      <c r="I473" s="367"/>
      <c r="J473" s="360"/>
      <c r="K473" s="360"/>
    </row>
    <row r="474" spans="2:11" ht="31.5" customHeight="1">
      <c r="B474" s="369"/>
      <c r="C474" s="356"/>
      <c r="D474" s="356"/>
      <c r="E474" s="364"/>
      <c r="F474" s="365"/>
      <c r="G474" s="366"/>
      <c r="H474" s="367"/>
      <c r="I474" s="367"/>
      <c r="J474" s="360"/>
      <c r="K474" s="360"/>
    </row>
    <row r="475" spans="2:11" ht="31.5" customHeight="1">
      <c r="B475" s="369"/>
      <c r="C475" s="356"/>
      <c r="D475" s="356"/>
      <c r="E475" s="364"/>
      <c r="F475" s="365"/>
      <c r="G475" s="366"/>
      <c r="H475" s="367"/>
      <c r="I475" s="367"/>
      <c r="J475" s="360"/>
      <c r="K475" s="360"/>
    </row>
    <row r="476" spans="2:11" ht="31.5" customHeight="1">
      <c r="B476" s="369"/>
      <c r="C476" s="356"/>
      <c r="D476" s="356"/>
      <c r="E476" s="364"/>
      <c r="F476" s="365"/>
      <c r="G476" s="366"/>
      <c r="H476" s="367"/>
      <c r="I476" s="367"/>
      <c r="J476" s="360"/>
      <c r="K476" s="360"/>
    </row>
    <row r="477" spans="2:11" ht="31.5" customHeight="1">
      <c r="B477" s="369"/>
      <c r="C477" s="356"/>
      <c r="D477" s="356"/>
      <c r="E477" s="364"/>
      <c r="F477" s="365"/>
      <c r="G477" s="366"/>
      <c r="H477" s="367"/>
      <c r="I477" s="367"/>
      <c r="J477" s="360"/>
      <c r="K477" s="360"/>
    </row>
    <row r="478" spans="2:11" ht="31.5" customHeight="1">
      <c r="B478" s="369"/>
      <c r="C478" s="356"/>
      <c r="D478" s="356"/>
      <c r="E478" s="364"/>
      <c r="F478" s="365"/>
      <c r="G478" s="366"/>
      <c r="H478" s="367"/>
      <c r="I478" s="367"/>
      <c r="J478" s="360"/>
      <c r="K478" s="360"/>
    </row>
    <row r="479" spans="2:11" ht="31.5" customHeight="1">
      <c r="B479" s="369"/>
      <c r="C479" s="356"/>
      <c r="D479" s="356"/>
      <c r="E479" s="364"/>
      <c r="F479" s="365"/>
      <c r="G479" s="366"/>
      <c r="H479" s="367"/>
      <c r="I479" s="367"/>
      <c r="J479" s="360"/>
      <c r="K479" s="360"/>
    </row>
    <row r="480" spans="2:11" ht="31.5" customHeight="1">
      <c r="B480" s="369"/>
      <c r="C480" s="356"/>
      <c r="D480" s="356"/>
      <c r="E480" s="364"/>
      <c r="F480" s="365"/>
      <c r="G480" s="366"/>
      <c r="H480" s="367"/>
      <c r="I480" s="367"/>
      <c r="J480" s="360"/>
      <c r="K480" s="360"/>
    </row>
    <row r="481" spans="2:11" ht="31.5" customHeight="1">
      <c r="B481" s="369"/>
      <c r="C481" s="356"/>
      <c r="D481" s="356"/>
      <c r="E481" s="364"/>
      <c r="F481" s="365"/>
      <c r="G481" s="366"/>
      <c r="H481" s="367"/>
      <c r="I481" s="367"/>
      <c r="J481" s="360"/>
      <c r="K481" s="360"/>
    </row>
    <row r="482" spans="2:11" ht="31.5" customHeight="1">
      <c r="B482" s="369"/>
      <c r="C482" s="356"/>
      <c r="D482" s="356"/>
      <c r="E482" s="364"/>
      <c r="F482" s="365"/>
      <c r="G482" s="366"/>
      <c r="H482" s="367"/>
      <c r="I482" s="367"/>
      <c r="J482" s="360"/>
      <c r="K482" s="360"/>
    </row>
    <row r="483" spans="2:11" ht="31.5" customHeight="1">
      <c r="B483" s="369"/>
      <c r="C483" s="356"/>
      <c r="D483" s="356"/>
      <c r="E483" s="364"/>
      <c r="F483" s="365"/>
      <c r="G483" s="366"/>
      <c r="H483" s="367"/>
      <c r="I483" s="367"/>
      <c r="J483" s="360"/>
      <c r="K483" s="360"/>
    </row>
    <row r="484" spans="2:11" ht="31.5" customHeight="1">
      <c r="B484" s="369"/>
      <c r="C484" s="356"/>
      <c r="D484" s="356"/>
      <c r="E484" s="364"/>
      <c r="F484" s="365"/>
      <c r="G484" s="366"/>
      <c r="H484" s="367"/>
      <c r="I484" s="367"/>
      <c r="J484" s="360"/>
      <c r="K484" s="360"/>
    </row>
    <row r="485" spans="2:11" ht="31.5" customHeight="1">
      <c r="B485" s="369"/>
      <c r="C485" s="356"/>
      <c r="D485" s="356"/>
      <c r="E485" s="364"/>
      <c r="F485" s="365"/>
      <c r="G485" s="366"/>
      <c r="H485" s="367"/>
      <c r="I485" s="367"/>
      <c r="J485" s="360"/>
      <c r="K485" s="360"/>
    </row>
    <row r="486" spans="2:11" ht="31.5" customHeight="1">
      <c r="B486" s="369"/>
      <c r="C486" s="356"/>
      <c r="D486" s="356"/>
      <c r="E486" s="364"/>
      <c r="F486" s="365"/>
      <c r="G486" s="366"/>
      <c r="H486" s="367"/>
      <c r="I486" s="367"/>
      <c r="J486" s="360"/>
      <c r="K486" s="360"/>
    </row>
    <row r="487" spans="2:11" ht="31.5" customHeight="1">
      <c r="B487" s="369"/>
      <c r="C487" s="356"/>
      <c r="D487" s="356"/>
      <c r="E487" s="364"/>
      <c r="F487" s="365"/>
      <c r="G487" s="366"/>
      <c r="H487" s="367"/>
      <c r="I487" s="367"/>
      <c r="J487" s="360"/>
      <c r="K487" s="360"/>
    </row>
    <row r="488" spans="2:11" ht="31.5" customHeight="1">
      <c r="B488" s="369"/>
      <c r="C488" s="356"/>
      <c r="D488" s="356"/>
      <c r="E488" s="364"/>
      <c r="F488" s="365"/>
      <c r="G488" s="366"/>
      <c r="H488" s="367"/>
      <c r="I488" s="367"/>
      <c r="J488" s="360"/>
      <c r="K488" s="360"/>
    </row>
    <row r="489" spans="2:11" ht="31.5" customHeight="1">
      <c r="B489" s="369"/>
      <c r="C489" s="356"/>
      <c r="D489" s="356"/>
      <c r="E489" s="364"/>
      <c r="F489" s="365"/>
      <c r="G489" s="366"/>
      <c r="H489" s="367"/>
      <c r="I489" s="367"/>
      <c r="J489" s="360"/>
      <c r="K489" s="360"/>
    </row>
    <row r="490" spans="2:11" ht="31.5" customHeight="1">
      <c r="B490" s="369"/>
      <c r="C490" s="356"/>
      <c r="D490" s="356"/>
      <c r="E490" s="364"/>
      <c r="F490" s="365"/>
      <c r="G490" s="366"/>
      <c r="H490" s="367"/>
      <c r="I490" s="367"/>
      <c r="J490" s="360"/>
      <c r="K490" s="360"/>
    </row>
    <row r="491" spans="2:11" ht="31.5" customHeight="1">
      <c r="B491" s="369"/>
      <c r="C491" s="356"/>
      <c r="D491" s="356"/>
      <c r="E491" s="364"/>
      <c r="F491" s="365"/>
      <c r="G491" s="366"/>
      <c r="H491" s="367"/>
      <c r="I491" s="367"/>
      <c r="J491" s="360"/>
      <c r="K491" s="360"/>
    </row>
    <row r="492" spans="2:11" ht="31.5" customHeight="1">
      <c r="B492" s="369"/>
      <c r="C492" s="356"/>
      <c r="D492" s="356"/>
      <c r="E492" s="364"/>
      <c r="F492" s="365"/>
      <c r="G492" s="366"/>
      <c r="H492" s="367"/>
      <c r="I492" s="367"/>
      <c r="J492" s="360"/>
      <c r="K492" s="360"/>
    </row>
    <row r="493" spans="2:11" ht="31.5" customHeight="1">
      <c r="B493" s="369"/>
      <c r="C493" s="356"/>
      <c r="D493" s="356"/>
      <c r="E493" s="364"/>
      <c r="F493" s="365"/>
      <c r="G493" s="366"/>
      <c r="H493" s="367"/>
      <c r="I493" s="367"/>
      <c r="J493" s="360"/>
      <c r="K493" s="360"/>
    </row>
    <row r="494" spans="2:11" ht="31.5" customHeight="1">
      <c r="B494" s="369"/>
      <c r="C494" s="356"/>
      <c r="D494" s="356"/>
      <c r="E494" s="364"/>
      <c r="F494" s="365"/>
      <c r="G494" s="366"/>
      <c r="H494" s="367"/>
      <c r="I494" s="367"/>
      <c r="J494" s="360"/>
      <c r="K494" s="360"/>
    </row>
    <row r="495" spans="2:11" ht="31.5" customHeight="1">
      <c r="B495" s="369"/>
      <c r="C495" s="356"/>
      <c r="D495" s="356"/>
      <c r="E495" s="364"/>
      <c r="F495" s="365"/>
      <c r="G495" s="366"/>
      <c r="H495" s="367"/>
      <c r="I495" s="367"/>
      <c r="J495" s="360"/>
      <c r="K495" s="360"/>
    </row>
    <row r="496" spans="2:11" ht="31.5" customHeight="1">
      <c r="B496" s="369"/>
      <c r="C496" s="356"/>
      <c r="D496" s="356"/>
      <c r="E496" s="364"/>
      <c r="F496" s="365"/>
      <c r="G496" s="366"/>
      <c r="H496" s="367"/>
      <c r="I496" s="367"/>
      <c r="J496" s="360"/>
      <c r="K496" s="360"/>
    </row>
    <row r="497" spans="2:11" ht="31.5" customHeight="1">
      <c r="B497" s="369"/>
      <c r="C497" s="356"/>
      <c r="D497" s="356"/>
      <c r="E497" s="364"/>
      <c r="F497" s="365"/>
      <c r="G497" s="366"/>
      <c r="H497" s="367"/>
      <c r="I497" s="367"/>
      <c r="J497" s="360"/>
      <c r="K497" s="360"/>
    </row>
    <row r="498" spans="2:11" ht="31.5" customHeight="1">
      <c r="B498" s="369"/>
      <c r="C498" s="356"/>
      <c r="D498" s="356"/>
      <c r="E498" s="364"/>
      <c r="F498" s="365"/>
      <c r="G498" s="366"/>
      <c r="H498" s="367"/>
      <c r="I498" s="367"/>
      <c r="J498" s="360"/>
      <c r="K498" s="360"/>
    </row>
    <row r="499" spans="2:11" ht="31.5" customHeight="1">
      <c r="B499" s="369"/>
      <c r="C499" s="356"/>
      <c r="D499" s="356"/>
      <c r="E499" s="364"/>
      <c r="F499" s="365"/>
      <c r="G499" s="366"/>
      <c r="H499" s="367"/>
      <c r="I499" s="367"/>
      <c r="J499" s="360"/>
      <c r="K499" s="360"/>
    </row>
    <row r="500" spans="2:11" ht="31.5" customHeight="1">
      <c r="B500" s="369"/>
      <c r="C500" s="356"/>
      <c r="D500" s="356"/>
      <c r="E500" s="364"/>
      <c r="F500" s="365"/>
      <c r="G500" s="366"/>
      <c r="H500" s="367"/>
      <c r="I500" s="367"/>
      <c r="J500" s="360"/>
      <c r="K500" s="360"/>
    </row>
    <row r="501" spans="2:11" ht="31.5" customHeight="1">
      <c r="B501" s="369"/>
      <c r="C501" s="356"/>
      <c r="D501" s="356"/>
      <c r="E501" s="364"/>
      <c r="F501" s="365"/>
      <c r="G501" s="366"/>
      <c r="H501" s="367"/>
      <c r="I501" s="367"/>
      <c r="J501" s="360"/>
      <c r="K501" s="360"/>
    </row>
    <row r="502" spans="2:11" ht="31.5" customHeight="1">
      <c r="B502" s="369"/>
      <c r="C502" s="356"/>
      <c r="D502" s="356"/>
      <c r="E502" s="364"/>
      <c r="F502" s="365"/>
      <c r="G502" s="366"/>
      <c r="H502" s="367"/>
      <c r="I502" s="367"/>
      <c r="J502" s="360"/>
      <c r="K502" s="360"/>
    </row>
    <row r="503" spans="2:11" ht="31.5" customHeight="1">
      <c r="B503" s="369"/>
      <c r="C503" s="356"/>
      <c r="D503" s="356"/>
      <c r="E503" s="364"/>
      <c r="F503" s="365"/>
      <c r="G503" s="366"/>
      <c r="H503" s="367"/>
      <c r="I503" s="367"/>
      <c r="J503" s="360"/>
      <c r="K503" s="360"/>
    </row>
    <row r="504" spans="2:11" ht="31.5" customHeight="1">
      <c r="B504" s="369"/>
      <c r="C504" s="356"/>
      <c r="D504" s="356"/>
      <c r="E504" s="364"/>
      <c r="F504" s="365"/>
      <c r="G504" s="366"/>
      <c r="H504" s="367"/>
      <c r="I504" s="367"/>
      <c r="J504" s="360"/>
      <c r="K504" s="360"/>
    </row>
    <row r="505" spans="2:11" ht="31.5" customHeight="1">
      <c r="B505" s="369"/>
      <c r="C505" s="356"/>
      <c r="D505" s="356"/>
      <c r="E505" s="364"/>
      <c r="F505" s="365"/>
      <c r="G505" s="366"/>
      <c r="H505" s="367"/>
      <c r="I505" s="367"/>
      <c r="J505" s="360"/>
      <c r="K505" s="360"/>
    </row>
    <row r="506" spans="2:11" ht="31.5" customHeight="1">
      <c r="B506" s="369"/>
      <c r="C506" s="356"/>
      <c r="D506" s="356"/>
      <c r="E506" s="364"/>
      <c r="F506" s="365"/>
      <c r="G506" s="366"/>
      <c r="H506" s="367"/>
      <c r="I506" s="367"/>
      <c r="J506" s="360"/>
      <c r="K506" s="360"/>
    </row>
    <row r="507" spans="2:11" ht="31.5" customHeight="1">
      <c r="B507" s="369"/>
      <c r="C507" s="356"/>
      <c r="D507" s="356"/>
      <c r="E507" s="364"/>
      <c r="F507" s="365"/>
      <c r="G507" s="366"/>
      <c r="H507" s="367"/>
      <c r="I507" s="367"/>
      <c r="J507" s="360"/>
      <c r="K507" s="360"/>
    </row>
    <row r="508" spans="2:11" ht="31.5" customHeight="1">
      <c r="B508" s="369"/>
      <c r="C508" s="356"/>
      <c r="D508" s="356"/>
      <c r="E508" s="364"/>
      <c r="F508" s="365"/>
      <c r="G508" s="366"/>
      <c r="H508" s="367"/>
      <c r="I508" s="367"/>
      <c r="J508" s="360"/>
      <c r="K508" s="360"/>
    </row>
    <row r="509" spans="2:11" ht="31.5" customHeight="1">
      <c r="B509" s="369"/>
      <c r="C509" s="356"/>
      <c r="D509" s="356"/>
      <c r="E509" s="364"/>
      <c r="F509" s="365"/>
      <c r="G509" s="366"/>
      <c r="H509" s="367"/>
      <c r="I509" s="367"/>
      <c r="J509" s="360"/>
      <c r="K509" s="360"/>
    </row>
    <row r="510" spans="2:11" ht="31.5" customHeight="1">
      <c r="B510" s="369"/>
      <c r="C510" s="356"/>
      <c r="D510" s="356"/>
      <c r="E510" s="364"/>
      <c r="F510" s="365"/>
      <c r="G510" s="366"/>
      <c r="H510" s="367"/>
      <c r="I510" s="367"/>
      <c r="J510" s="360"/>
      <c r="K510" s="360"/>
    </row>
    <row r="511" spans="2:11" ht="31.5" customHeight="1">
      <c r="B511" s="369"/>
      <c r="C511" s="356"/>
      <c r="D511" s="356"/>
      <c r="E511" s="364"/>
      <c r="F511" s="365"/>
      <c r="G511" s="366"/>
      <c r="H511" s="367"/>
      <c r="I511" s="367"/>
      <c r="J511" s="360"/>
      <c r="K511" s="360"/>
    </row>
    <row r="512" spans="2:11" ht="31.5" customHeight="1">
      <c r="B512" s="369"/>
      <c r="C512" s="356"/>
      <c r="D512" s="356"/>
      <c r="E512" s="364"/>
      <c r="F512" s="365"/>
      <c r="G512" s="366"/>
      <c r="H512" s="367"/>
      <c r="I512" s="367"/>
      <c r="J512" s="360"/>
      <c r="K512" s="360"/>
    </row>
    <row r="513" spans="2:11" ht="31.5" customHeight="1">
      <c r="B513" s="369"/>
      <c r="C513" s="356"/>
      <c r="D513" s="356"/>
      <c r="E513" s="364"/>
      <c r="F513" s="365"/>
      <c r="G513" s="366"/>
      <c r="H513" s="367"/>
      <c r="I513" s="367"/>
      <c r="J513" s="360"/>
      <c r="K513" s="360"/>
    </row>
    <row r="514" spans="2:11" ht="31.5" customHeight="1">
      <c r="B514" s="369"/>
      <c r="C514" s="356"/>
      <c r="D514" s="356"/>
      <c r="E514" s="364"/>
      <c r="F514" s="365"/>
      <c r="G514" s="366"/>
      <c r="H514" s="367"/>
      <c r="I514" s="367"/>
      <c r="J514" s="360"/>
      <c r="K514" s="360"/>
    </row>
    <row r="515" spans="2:11" ht="31.5" customHeight="1">
      <c r="B515" s="369"/>
      <c r="C515" s="356"/>
      <c r="D515" s="356"/>
      <c r="E515" s="364"/>
      <c r="F515" s="365"/>
      <c r="G515" s="366"/>
      <c r="H515" s="367"/>
      <c r="I515" s="367"/>
      <c r="J515" s="360"/>
      <c r="K515" s="360"/>
    </row>
    <row r="516" spans="2:11" ht="31.5" customHeight="1">
      <c r="B516" s="369"/>
      <c r="C516" s="356"/>
      <c r="D516" s="356"/>
      <c r="E516" s="364"/>
      <c r="F516" s="365"/>
      <c r="G516" s="366"/>
      <c r="H516" s="367"/>
      <c r="I516" s="367"/>
      <c r="J516" s="360"/>
      <c r="K516" s="360"/>
    </row>
    <row r="517" spans="2:11" ht="31.5" customHeight="1">
      <c r="B517" s="369"/>
      <c r="C517" s="356"/>
      <c r="D517" s="356"/>
      <c r="E517" s="364"/>
      <c r="F517" s="365"/>
      <c r="G517" s="366"/>
      <c r="H517" s="367"/>
      <c r="I517" s="367"/>
      <c r="J517" s="360"/>
      <c r="K517" s="360"/>
    </row>
    <row r="518" spans="2:11" ht="31.5" customHeight="1">
      <c r="B518" s="369"/>
      <c r="C518" s="356"/>
      <c r="D518" s="356"/>
      <c r="E518" s="364"/>
      <c r="F518" s="365"/>
      <c r="G518" s="366"/>
      <c r="H518" s="367"/>
      <c r="I518" s="367"/>
      <c r="J518" s="360"/>
      <c r="K518" s="360"/>
    </row>
    <row r="519" spans="2:11" ht="31.5" customHeight="1">
      <c r="B519" s="369"/>
      <c r="C519" s="356"/>
      <c r="D519" s="356"/>
      <c r="E519" s="364"/>
      <c r="F519" s="365"/>
      <c r="G519" s="366"/>
      <c r="H519" s="367"/>
      <c r="I519" s="367"/>
      <c r="J519" s="360"/>
      <c r="K519" s="360"/>
    </row>
    <row r="520" spans="2:11" ht="31.5" customHeight="1">
      <c r="B520" s="369"/>
      <c r="C520" s="356"/>
      <c r="D520" s="356"/>
      <c r="E520" s="364"/>
      <c r="F520" s="365"/>
      <c r="G520" s="366"/>
      <c r="H520" s="367"/>
      <c r="I520" s="367"/>
      <c r="J520" s="360"/>
      <c r="K520" s="360"/>
    </row>
    <row r="521" spans="2:11" ht="31.5" customHeight="1">
      <c r="B521" s="369"/>
      <c r="C521" s="356"/>
      <c r="D521" s="356"/>
      <c r="E521" s="364"/>
      <c r="F521" s="365"/>
      <c r="G521" s="366"/>
      <c r="H521" s="367"/>
      <c r="I521" s="367"/>
      <c r="J521" s="360"/>
      <c r="K521" s="360"/>
    </row>
    <row r="522" spans="2:11" ht="31.5" customHeight="1">
      <c r="B522" s="369"/>
      <c r="C522" s="356"/>
      <c r="D522" s="356"/>
      <c r="E522" s="364"/>
      <c r="F522" s="365"/>
      <c r="G522" s="366"/>
      <c r="H522" s="367"/>
      <c r="I522" s="367"/>
      <c r="J522" s="360"/>
      <c r="K522" s="360"/>
    </row>
    <row r="523" spans="2:11" ht="31.5" customHeight="1">
      <c r="B523" s="369"/>
      <c r="C523" s="356"/>
      <c r="D523" s="356"/>
      <c r="E523" s="364"/>
      <c r="F523" s="365"/>
      <c r="G523" s="366"/>
      <c r="H523" s="367"/>
      <c r="I523" s="367"/>
      <c r="J523" s="360"/>
      <c r="K523" s="360"/>
    </row>
    <row r="524" spans="2:11" ht="31.5" customHeight="1">
      <c r="B524" s="369"/>
      <c r="C524" s="356"/>
      <c r="D524" s="356"/>
      <c r="E524" s="364"/>
      <c r="F524" s="365"/>
      <c r="G524" s="366"/>
      <c r="H524" s="367"/>
      <c r="I524" s="367"/>
      <c r="J524" s="360"/>
      <c r="K524" s="360"/>
    </row>
    <row r="525" spans="2:11" ht="31.5" customHeight="1">
      <c r="B525" s="369"/>
      <c r="C525" s="356"/>
      <c r="D525" s="356"/>
      <c r="E525" s="364"/>
      <c r="F525" s="365"/>
      <c r="G525" s="366"/>
      <c r="H525" s="367"/>
      <c r="I525" s="367"/>
      <c r="J525" s="360"/>
      <c r="K525" s="360"/>
    </row>
    <row r="526" spans="2:11" ht="31.5" customHeight="1">
      <c r="B526" s="369"/>
      <c r="C526" s="356"/>
      <c r="D526" s="356"/>
      <c r="E526" s="364"/>
      <c r="F526" s="365"/>
      <c r="G526" s="366"/>
      <c r="H526" s="367"/>
      <c r="I526" s="367"/>
      <c r="J526" s="360"/>
      <c r="K526" s="360"/>
    </row>
    <row r="527" spans="2:11" ht="31.5" customHeight="1">
      <c r="B527" s="369"/>
      <c r="C527" s="356"/>
      <c r="D527" s="356"/>
      <c r="E527" s="364"/>
      <c r="F527" s="365"/>
      <c r="G527" s="366"/>
      <c r="H527" s="367"/>
      <c r="I527" s="367"/>
      <c r="J527" s="360"/>
      <c r="K527" s="360"/>
    </row>
    <row r="528" spans="2:11" ht="31.5" customHeight="1">
      <c r="B528" s="369"/>
      <c r="C528" s="356"/>
      <c r="D528" s="356"/>
      <c r="E528" s="364"/>
      <c r="F528" s="365"/>
      <c r="G528" s="366"/>
      <c r="H528" s="367"/>
      <c r="I528" s="367"/>
      <c r="J528" s="360"/>
      <c r="K528" s="360"/>
    </row>
    <row r="529" spans="2:11" ht="31.5" customHeight="1">
      <c r="B529" s="369"/>
      <c r="C529" s="356"/>
      <c r="D529" s="356"/>
      <c r="E529" s="364"/>
      <c r="F529" s="365"/>
      <c r="G529" s="366"/>
      <c r="H529" s="367"/>
      <c r="I529" s="367"/>
      <c r="J529" s="360"/>
      <c r="K529" s="360"/>
    </row>
    <row r="530" spans="2:11" ht="31.5" customHeight="1">
      <c r="B530" s="369"/>
      <c r="C530" s="356"/>
      <c r="D530" s="356"/>
      <c r="E530" s="364"/>
      <c r="F530" s="365"/>
      <c r="G530" s="366"/>
      <c r="H530" s="367"/>
      <c r="I530" s="367"/>
      <c r="J530" s="360"/>
      <c r="K530" s="360"/>
    </row>
    <row r="531" spans="2:11" ht="31.5" customHeight="1">
      <c r="B531" s="369"/>
      <c r="C531" s="356"/>
      <c r="D531" s="356"/>
      <c r="E531" s="364"/>
      <c r="F531" s="365"/>
      <c r="G531" s="366"/>
      <c r="H531" s="367"/>
      <c r="I531" s="367"/>
      <c r="J531" s="360"/>
      <c r="K531" s="360"/>
    </row>
    <row r="532" spans="2:11" ht="31.5" customHeight="1">
      <c r="B532" s="369"/>
      <c r="C532" s="356"/>
      <c r="D532" s="356"/>
      <c r="E532" s="364"/>
      <c r="F532" s="365"/>
      <c r="G532" s="366"/>
      <c r="H532" s="367"/>
      <c r="I532" s="367"/>
      <c r="J532" s="360"/>
      <c r="K532" s="360"/>
    </row>
    <row r="533" spans="2:11" ht="31.5" customHeight="1">
      <c r="B533" s="369"/>
      <c r="C533" s="356"/>
      <c r="D533" s="356"/>
      <c r="E533" s="364"/>
      <c r="F533" s="365"/>
      <c r="G533" s="366"/>
      <c r="H533" s="367"/>
      <c r="I533" s="367"/>
      <c r="J533" s="360"/>
      <c r="K533" s="360"/>
    </row>
    <row r="534" spans="2:11" ht="31.5" customHeight="1">
      <c r="B534" s="369"/>
      <c r="C534" s="356"/>
      <c r="D534" s="356"/>
      <c r="E534" s="364"/>
      <c r="F534" s="365"/>
      <c r="G534" s="366"/>
      <c r="H534" s="367"/>
      <c r="I534" s="367"/>
      <c r="J534" s="360"/>
      <c r="K534" s="360"/>
    </row>
    <row r="535" spans="2:11" ht="31.5" customHeight="1">
      <c r="B535" s="369"/>
      <c r="C535" s="356"/>
      <c r="D535" s="356"/>
      <c r="E535" s="364"/>
      <c r="F535" s="365"/>
      <c r="G535" s="366"/>
      <c r="H535" s="367"/>
      <c r="I535" s="367"/>
      <c r="J535" s="360"/>
      <c r="K535" s="360"/>
    </row>
    <row r="536" spans="2:11" ht="31.5" customHeight="1">
      <c r="B536" s="369"/>
      <c r="C536" s="356"/>
      <c r="D536" s="356"/>
      <c r="E536" s="364"/>
      <c r="F536" s="365"/>
      <c r="G536" s="366"/>
      <c r="H536" s="367"/>
      <c r="I536" s="367"/>
      <c r="J536" s="360"/>
      <c r="K536" s="360"/>
    </row>
    <row r="537" spans="2:11" ht="31.5" customHeight="1">
      <c r="B537" s="369"/>
      <c r="C537" s="356"/>
      <c r="D537" s="356"/>
      <c r="E537" s="364"/>
      <c r="F537" s="365"/>
      <c r="G537" s="366"/>
      <c r="H537" s="367"/>
      <c r="I537" s="367"/>
      <c r="J537" s="360"/>
      <c r="K537" s="360"/>
    </row>
    <row r="538" spans="2:11" ht="31.5" customHeight="1">
      <c r="B538" s="369"/>
      <c r="C538" s="356"/>
      <c r="D538" s="356"/>
      <c r="E538" s="364"/>
      <c r="F538" s="365"/>
      <c r="G538" s="366"/>
      <c r="H538" s="367"/>
      <c r="I538" s="367"/>
      <c r="J538" s="360"/>
      <c r="K538" s="360"/>
    </row>
    <row r="539" spans="2:11" ht="31.5" customHeight="1">
      <c r="B539" s="369"/>
      <c r="C539" s="356"/>
      <c r="D539" s="356"/>
      <c r="E539" s="364"/>
      <c r="F539" s="365"/>
      <c r="G539" s="366"/>
      <c r="H539" s="367"/>
      <c r="I539" s="367"/>
      <c r="J539" s="360"/>
      <c r="K539" s="360"/>
    </row>
    <row r="540" spans="2:11" ht="31.5" customHeight="1">
      <c r="B540" s="369"/>
      <c r="C540" s="356"/>
      <c r="D540" s="356"/>
      <c r="E540" s="364"/>
      <c r="F540" s="365"/>
      <c r="G540" s="366"/>
      <c r="H540" s="367"/>
      <c r="I540" s="367"/>
      <c r="J540" s="360"/>
      <c r="K540" s="360"/>
    </row>
    <row r="541" spans="2:11" ht="31.5" customHeight="1">
      <c r="B541" s="369"/>
      <c r="C541" s="356"/>
      <c r="D541" s="356"/>
      <c r="E541" s="364"/>
      <c r="F541" s="365"/>
      <c r="G541" s="366"/>
      <c r="H541" s="367"/>
      <c r="I541" s="367"/>
      <c r="J541" s="360"/>
      <c r="K541" s="360"/>
    </row>
    <row r="542" spans="2:11" ht="31.5" customHeight="1">
      <c r="B542" s="369"/>
      <c r="C542" s="356"/>
      <c r="D542" s="356"/>
      <c r="E542" s="364"/>
      <c r="F542" s="365"/>
      <c r="G542" s="366"/>
      <c r="H542" s="367"/>
      <c r="I542" s="367"/>
      <c r="J542" s="360"/>
      <c r="K542" s="360"/>
    </row>
    <row r="543" spans="2:11" ht="31.5" customHeight="1">
      <c r="B543" s="369"/>
      <c r="C543" s="356"/>
      <c r="D543" s="356"/>
      <c r="E543" s="364"/>
      <c r="F543" s="365"/>
      <c r="G543" s="366"/>
      <c r="H543" s="367"/>
      <c r="I543" s="367"/>
      <c r="J543" s="360"/>
      <c r="K543" s="360"/>
    </row>
    <row r="544" spans="2:11" ht="31.5" customHeight="1">
      <c r="B544" s="369"/>
      <c r="C544" s="356"/>
      <c r="D544" s="356"/>
      <c r="E544" s="364"/>
      <c r="F544" s="365"/>
      <c r="G544" s="366"/>
      <c r="H544" s="367"/>
      <c r="I544" s="367"/>
      <c r="J544" s="360"/>
      <c r="K544" s="360"/>
    </row>
    <row r="545" spans="2:11" ht="31.5" customHeight="1">
      <c r="B545" s="369"/>
      <c r="C545" s="356"/>
      <c r="D545" s="356"/>
      <c r="E545" s="364"/>
      <c r="F545" s="365"/>
      <c r="G545" s="366"/>
      <c r="H545" s="367"/>
      <c r="I545" s="367"/>
      <c r="J545" s="360"/>
      <c r="K545" s="360"/>
    </row>
    <row r="546" spans="2:11" ht="31.5" customHeight="1">
      <c r="B546" s="369"/>
      <c r="C546" s="356"/>
      <c r="D546" s="356"/>
      <c r="E546" s="364"/>
      <c r="F546" s="365"/>
      <c r="G546" s="366"/>
      <c r="H546" s="367"/>
      <c r="I546" s="367"/>
      <c r="J546" s="360"/>
      <c r="K546" s="360"/>
    </row>
    <row r="547" spans="2:11" ht="31.5" customHeight="1">
      <c r="B547" s="369"/>
      <c r="C547" s="356"/>
      <c r="D547" s="356"/>
      <c r="E547" s="364"/>
      <c r="F547" s="365"/>
      <c r="G547" s="366"/>
      <c r="H547" s="367"/>
      <c r="I547" s="367"/>
      <c r="J547" s="360"/>
      <c r="K547" s="360"/>
    </row>
    <row r="548" spans="2:11" ht="31.5" customHeight="1">
      <c r="B548" s="369"/>
      <c r="C548" s="356"/>
      <c r="D548" s="356"/>
      <c r="E548" s="364"/>
      <c r="F548" s="365"/>
      <c r="G548" s="366"/>
      <c r="H548" s="367"/>
      <c r="I548" s="367"/>
      <c r="J548" s="360"/>
      <c r="K548" s="360"/>
    </row>
    <row r="549" spans="2:11" ht="31.5" customHeight="1">
      <c r="B549" s="369"/>
      <c r="C549" s="356"/>
      <c r="D549" s="356"/>
      <c r="E549" s="364"/>
      <c r="F549" s="365"/>
      <c r="G549" s="366"/>
      <c r="H549" s="367"/>
      <c r="I549" s="367"/>
      <c r="J549" s="360"/>
      <c r="K549" s="360"/>
    </row>
    <row r="550" spans="2:11" ht="31.5" customHeight="1">
      <c r="B550" s="369"/>
      <c r="C550" s="356"/>
      <c r="D550" s="356"/>
      <c r="E550" s="364"/>
      <c r="F550" s="365"/>
      <c r="G550" s="366"/>
      <c r="H550" s="367"/>
      <c r="I550" s="367"/>
      <c r="J550" s="360"/>
      <c r="K550" s="360"/>
    </row>
    <row r="551" spans="2:11" ht="31.5" customHeight="1">
      <c r="B551" s="369"/>
      <c r="C551" s="356"/>
      <c r="D551" s="356"/>
      <c r="E551" s="364"/>
      <c r="F551" s="365"/>
      <c r="G551" s="366"/>
      <c r="H551" s="367"/>
      <c r="I551" s="367"/>
      <c r="J551" s="360"/>
      <c r="K551" s="360"/>
    </row>
    <row r="552" spans="2:11" ht="31.5" customHeight="1">
      <c r="B552" s="369"/>
      <c r="C552" s="356"/>
      <c r="D552" s="356"/>
      <c r="E552" s="364"/>
      <c r="F552" s="365"/>
      <c r="G552" s="366"/>
      <c r="H552" s="367"/>
      <c r="I552" s="367"/>
      <c r="J552" s="360"/>
      <c r="K552" s="360"/>
    </row>
    <row r="553" spans="2:11" ht="31.5" customHeight="1">
      <c r="B553" s="369"/>
      <c r="C553" s="356"/>
      <c r="D553" s="356"/>
      <c r="E553" s="364"/>
      <c r="F553" s="365"/>
      <c r="G553" s="366"/>
      <c r="H553" s="367"/>
      <c r="I553" s="367"/>
      <c r="J553" s="360"/>
      <c r="K553" s="360"/>
    </row>
    <row r="554" spans="2:11" ht="31.5" customHeight="1">
      <c r="B554" s="369"/>
      <c r="C554" s="356"/>
      <c r="D554" s="356"/>
      <c r="E554" s="364"/>
      <c r="F554" s="365"/>
      <c r="G554" s="366"/>
      <c r="H554" s="367"/>
      <c r="I554" s="367"/>
      <c r="J554" s="360"/>
      <c r="K554" s="360"/>
    </row>
    <row r="555" spans="2:11" ht="31.5" customHeight="1">
      <c r="B555" s="369"/>
      <c r="C555" s="356"/>
      <c r="D555" s="356"/>
      <c r="E555" s="364"/>
      <c r="F555" s="365"/>
      <c r="G555" s="366"/>
      <c r="H555" s="367"/>
      <c r="I555" s="367"/>
      <c r="J555" s="360"/>
      <c r="K555" s="360"/>
    </row>
    <row r="556" spans="2:11" ht="31.5" customHeight="1">
      <c r="B556" s="369"/>
      <c r="C556" s="356"/>
      <c r="D556" s="356"/>
      <c r="E556" s="364"/>
      <c r="F556" s="365"/>
      <c r="G556" s="366"/>
      <c r="H556" s="367"/>
      <c r="I556" s="367"/>
      <c r="J556" s="360"/>
      <c r="K556" s="360"/>
    </row>
    <row r="557" spans="2:11" ht="31.5" customHeight="1">
      <c r="B557" s="369"/>
      <c r="C557" s="356"/>
      <c r="D557" s="356"/>
      <c r="E557" s="364"/>
      <c r="F557" s="365"/>
      <c r="G557" s="366"/>
      <c r="H557" s="367"/>
      <c r="I557" s="367"/>
      <c r="J557" s="360"/>
      <c r="K557" s="360"/>
    </row>
    <row r="558" spans="2:11" ht="31.5" customHeight="1">
      <c r="B558" s="369"/>
      <c r="C558" s="356"/>
      <c r="D558" s="356"/>
      <c r="E558" s="364"/>
      <c r="F558" s="365"/>
      <c r="G558" s="366"/>
      <c r="H558" s="367"/>
      <c r="I558" s="367"/>
      <c r="J558" s="360"/>
      <c r="K558" s="360"/>
    </row>
    <row r="559" spans="2:11" ht="31.5" customHeight="1">
      <c r="B559" s="369"/>
      <c r="C559" s="356"/>
      <c r="D559" s="356"/>
      <c r="E559" s="364"/>
      <c r="F559" s="365"/>
      <c r="G559" s="366"/>
      <c r="H559" s="367"/>
      <c r="I559" s="367"/>
      <c r="J559" s="360"/>
      <c r="K559" s="360"/>
    </row>
    <row r="560" spans="2:11" ht="31.5" customHeight="1">
      <c r="B560" s="369"/>
      <c r="C560" s="356"/>
      <c r="D560" s="356"/>
      <c r="E560" s="364"/>
      <c r="F560" s="365"/>
      <c r="G560" s="366"/>
      <c r="H560" s="367"/>
      <c r="I560" s="367"/>
      <c r="J560" s="360"/>
      <c r="K560" s="360"/>
    </row>
    <row r="561" spans="2:11" ht="31.5" customHeight="1">
      <c r="B561" s="369"/>
      <c r="C561" s="356"/>
      <c r="D561" s="356"/>
      <c r="E561" s="364"/>
      <c r="F561" s="365"/>
      <c r="G561" s="366"/>
      <c r="H561" s="367"/>
      <c r="I561" s="367"/>
      <c r="J561" s="360"/>
      <c r="K561" s="360"/>
    </row>
    <row r="562" spans="2:11" ht="31.5" customHeight="1">
      <c r="B562" s="369"/>
      <c r="C562" s="356"/>
      <c r="D562" s="356"/>
      <c r="E562" s="364"/>
      <c r="F562" s="365"/>
      <c r="G562" s="366"/>
      <c r="H562" s="367"/>
      <c r="I562" s="367"/>
      <c r="J562" s="360"/>
      <c r="K562" s="360"/>
    </row>
    <row r="563" spans="2:11" ht="31.5" customHeight="1">
      <c r="B563" s="369"/>
      <c r="C563" s="356"/>
      <c r="D563" s="356"/>
      <c r="E563" s="364"/>
      <c r="F563" s="365"/>
      <c r="G563" s="366"/>
      <c r="H563" s="367"/>
      <c r="I563" s="367"/>
      <c r="J563" s="360"/>
      <c r="K563" s="360"/>
    </row>
    <row r="564" spans="2:11" ht="31.5" customHeight="1">
      <c r="B564" s="369"/>
      <c r="C564" s="356"/>
      <c r="D564" s="356"/>
      <c r="E564" s="364"/>
      <c r="F564" s="365"/>
      <c r="G564" s="366"/>
      <c r="H564" s="367"/>
      <c r="I564" s="367"/>
      <c r="J564" s="360"/>
      <c r="K564" s="360"/>
    </row>
    <row r="565" spans="2:11" ht="31.5" customHeight="1">
      <c r="B565" s="369"/>
      <c r="C565" s="356"/>
      <c r="D565" s="356"/>
      <c r="E565" s="364"/>
      <c r="F565" s="365"/>
      <c r="G565" s="366"/>
      <c r="H565" s="367"/>
      <c r="I565" s="367"/>
      <c r="J565" s="360"/>
      <c r="K565" s="360"/>
    </row>
    <row r="566" spans="2:11" ht="31.5" customHeight="1">
      <c r="B566" s="369"/>
      <c r="C566" s="356"/>
      <c r="D566" s="356"/>
      <c r="E566" s="364"/>
      <c r="F566" s="365"/>
      <c r="G566" s="366"/>
      <c r="H566" s="367"/>
      <c r="I566" s="367"/>
      <c r="J566" s="360"/>
      <c r="K566" s="360"/>
    </row>
    <row r="567" spans="2:11" ht="31.5" customHeight="1">
      <c r="B567" s="369"/>
      <c r="C567" s="356"/>
      <c r="D567" s="356"/>
      <c r="E567" s="364"/>
      <c r="F567" s="365"/>
      <c r="G567" s="366"/>
      <c r="H567" s="367"/>
      <c r="I567" s="367"/>
      <c r="J567" s="360"/>
      <c r="K567" s="360"/>
    </row>
    <row r="568" spans="2:11" ht="31.5" customHeight="1">
      <c r="B568" s="369"/>
      <c r="C568" s="356"/>
      <c r="D568" s="356"/>
      <c r="E568" s="364"/>
      <c r="F568" s="365"/>
      <c r="G568" s="366"/>
      <c r="H568" s="367"/>
      <c r="I568" s="367"/>
      <c r="J568" s="360"/>
      <c r="K568" s="360"/>
    </row>
    <row r="569" spans="2:11" ht="31.5" customHeight="1">
      <c r="B569" s="369"/>
      <c r="C569" s="356"/>
      <c r="D569" s="356"/>
      <c r="E569" s="364"/>
      <c r="F569" s="365"/>
      <c r="G569" s="366"/>
      <c r="H569" s="367"/>
      <c r="I569" s="367"/>
      <c r="J569" s="360"/>
      <c r="K569" s="360"/>
    </row>
    <row r="570" spans="2:11" ht="31.5" customHeight="1">
      <c r="B570" s="369"/>
      <c r="C570" s="356"/>
      <c r="D570" s="356"/>
      <c r="E570" s="364"/>
      <c r="F570" s="365"/>
      <c r="G570" s="366"/>
      <c r="H570" s="367"/>
      <c r="I570" s="367"/>
      <c r="J570" s="360"/>
      <c r="K570" s="360"/>
    </row>
    <row r="571" spans="2:11" ht="31.5" customHeight="1">
      <c r="B571" s="369"/>
      <c r="C571" s="356"/>
      <c r="D571" s="356"/>
      <c r="E571" s="364"/>
      <c r="F571" s="365"/>
      <c r="G571" s="366"/>
      <c r="H571" s="367"/>
      <c r="I571" s="367"/>
      <c r="J571" s="360"/>
      <c r="K571" s="360"/>
    </row>
    <row r="572" spans="2:11" ht="31.5" customHeight="1">
      <c r="B572" s="369"/>
      <c r="C572" s="356"/>
      <c r="D572" s="356"/>
      <c r="E572" s="364"/>
      <c r="F572" s="365"/>
      <c r="G572" s="366"/>
      <c r="H572" s="367"/>
      <c r="I572" s="367"/>
      <c r="J572" s="360"/>
      <c r="K572" s="360"/>
    </row>
    <row r="573" spans="2:11" ht="31.5" customHeight="1">
      <c r="B573" s="369"/>
      <c r="C573" s="356"/>
      <c r="D573" s="356"/>
      <c r="E573" s="364"/>
      <c r="F573" s="365"/>
      <c r="G573" s="366"/>
      <c r="H573" s="367"/>
      <c r="I573" s="367"/>
      <c r="J573" s="360"/>
      <c r="K573" s="360"/>
    </row>
    <row r="574" spans="2:11" ht="31.5" customHeight="1">
      <c r="B574" s="369"/>
      <c r="C574" s="356"/>
      <c r="D574" s="356"/>
      <c r="E574" s="364"/>
      <c r="F574" s="365"/>
      <c r="G574" s="366"/>
      <c r="H574" s="367"/>
      <c r="I574" s="367"/>
      <c r="J574" s="360"/>
      <c r="K574" s="360"/>
    </row>
    <row r="575" spans="2:11" ht="31.5" customHeight="1">
      <c r="B575" s="369"/>
      <c r="C575" s="356"/>
      <c r="D575" s="356"/>
      <c r="E575" s="364"/>
      <c r="F575" s="365"/>
      <c r="G575" s="366"/>
      <c r="H575" s="367"/>
      <c r="I575" s="367"/>
      <c r="J575" s="360"/>
      <c r="K575" s="360"/>
    </row>
    <row r="576" spans="2:11" ht="31.5" customHeight="1">
      <c r="B576" s="369"/>
      <c r="C576" s="356"/>
      <c r="D576" s="356"/>
      <c r="E576" s="364"/>
      <c r="F576" s="365"/>
      <c r="G576" s="366"/>
      <c r="H576" s="367"/>
      <c r="I576" s="367"/>
      <c r="J576" s="360"/>
      <c r="K576" s="360"/>
    </row>
    <row r="577" spans="2:11" ht="31.5" customHeight="1">
      <c r="B577" s="369"/>
      <c r="C577" s="356"/>
      <c r="D577" s="356"/>
      <c r="E577" s="364"/>
      <c r="F577" s="365"/>
      <c r="G577" s="366"/>
      <c r="H577" s="367"/>
      <c r="I577" s="367"/>
      <c r="J577" s="360"/>
      <c r="K577" s="360"/>
    </row>
    <row r="578" spans="2:11" ht="31.5" customHeight="1">
      <c r="B578" s="369"/>
      <c r="C578" s="356"/>
      <c r="D578" s="356"/>
      <c r="E578" s="364"/>
      <c r="F578" s="365"/>
      <c r="G578" s="366"/>
      <c r="H578" s="367"/>
      <c r="I578" s="367"/>
      <c r="J578" s="360"/>
      <c r="K578" s="360"/>
    </row>
    <row r="579" spans="2:11" ht="31.5" customHeight="1">
      <c r="B579" s="369"/>
      <c r="C579" s="356"/>
      <c r="D579" s="356"/>
      <c r="E579" s="364"/>
      <c r="F579" s="365"/>
      <c r="G579" s="366"/>
      <c r="H579" s="367"/>
      <c r="I579" s="367"/>
      <c r="J579" s="360"/>
      <c r="K579" s="360"/>
    </row>
    <row r="580" spans="2:11" ht="31.5" customHeight="1">
      <c r="B580" s="369"/>
      <c r="C580" s="356"/>
      <c r="D580" s="356"/>
      <c r="E580" s="364"/>
      <c r="F580" s="365"/>
      <c r="G580" s="366"/>
      <c r="H580" s="367"/>
      <c r="I580" s="367"/>
      <c r="J580" s="360"/>
      <c r="K580" s="360"/>
    </row>
    <row r="581" spans="2:11" ht="31.5" customHeight="1">
      <c r="B581" s="369"/>
      <c r="C581" s="356"/>
      <c r="D581" s="356"/>
      <c r="E581" s="364"/>
      <c r="F581" s="365"/>
      <c r="G581" s="366"/>
      <c r="H581" s="367"/>
      <c r="I581" s="367"/>
      <c r="J581" s="360"/>
      <c r="K581" s="360"/>
    </row>
    <row r="582" spans="2:11" ht="31.5" customHeight="1">
      <c r="B582" s="369"/>
      <c r="C582" s="356"/>
      <c r="D582" s="356"/>
      <c r="E582" s="364"/>
      <c r="F582" s="365"/>
      <c r="G582" s="366"/>
      <c r="H582" s="367"/>
      <c r="I582" s="367"/>
      <c r="J582" s="360"/>
      <c r="K582" s="360"/>
    </row>
    <row r="583" spans="2:11" ht="31.5" customHeight="1">
      <c r="B583" s="369"/>
      <c r="C583" s="356"/>
      <c r="D583" s="356"/>
      <c r="E583" s="364"/>
      <c r="F583" s="365"/>
      <c r="G583" s="366"/>
      <c r="H583" s="367"/>
      <c r="I583" s="367"/>
      <c r="J583" s="360"/>
      <c r="K583" s="360"/>
    </row>
    <row r="584" spans="2:11" ht="31.5" customHeight="1">
      <c r="B584" s="369"/>
      <c r="C584" s="356"/>
      <c r="D584" s="356"/>
      <c r="E584" s="364"/>
      <c r="F584" s="365"/>
      <c r="G584" s="366"/>
      <c r="H584" s="367"/>
      <c r="I584" s="367"/>
      <c r="J584" s="360"/>
      <c r="K584" s="360"/>
    </row>
    <row r="585" spans="2:11" ht="31.5" customHeight="1">
      <c r="B585" s="369"/>
      <c r="C585" s="356"/>
      <c r="D585" s="356"/>
      <c r="E585" s="364"/>
      <c r="F585" s="365"/>
      <c r="G585" s="366"/>
      <c r="H585" s="367"/>
      <c r="I585" s="367"/>
      <c r="J585" s="360"/>
      <c r="K585" s="360"/>
    </row>
    <row r="586" spans="2:11" ht="31.5" customHeight="1">
      <c r="B586" s="369"/>
      <c r="C586" s="356"/>
      <c r="D586" s="356"/>
      <c r="E586" s="364"/>
      <c r="F586" s="365"/>
      <c r="G586" s="366"/>
      <c r="H586" s="367"/>
      <c r="I586" s="367"/>
      <c r="J586" s="360"/>
      <c r="K586" s="360"/>
    </row>
    <row r="587" spans="2:11" ht="31.5" customHeight="1">
      <c r="B587" s="369"/>
      <c r="C587" s="356"/>
      <c r="D587" s="356"/>
      <c r="E587" s="364"/>
      <c r="F587" s="365"/>
      <c r="G587" s="366"/>
      <c r="H587" s="367"/>
      <c r="I587" s="367"/>
      <c r="J587" s="360"/>
      <c r="K587" s="360"/>
    </row>
    <row r="588" spans="2:11" ht="31.5" customHeight="1">
      <c r="B588" s="369"/>
      <c r="C588" s="356"/>
      <c r="D588" s="356"/>
      <c r="E588" s="364"/>
      <c r="F588" s="365"/>
      <c r="G588" s="366"/>
      <c r="H588" s="367"/>
      <c r="I588" s="367"/>
      <c r="J588" s="360"/>
      <c r="K588" s="360"/>
    </row>
    <row r="589" spans="2:11" ht="31.5" customHeight="1">
      <c r="B589" s="369"/>
      <c r="C589" s="356"/>
      <c r="D589" s="356"/>
      <c r="E589" s="364"/>
      <c r="F589" s="365"/>
      <c r="G589" s="366"/>
      <c r="H589" s="367"/>
      <c r="I589" s="367"/>
      <c r="J589" s="360"/>
      <c r="K589" s="360"/>
    </row>
    <row r="590" spans="2:11" ht="31.5" customHeight="1">
      <c r="B590" s="369"/>
      <c r="C590" s="356"/>
      <c r="D590" s="356"/>
      <c r="E590" s="364"/>
      <c r="F590" s="365"/>
      <c r="G590" s="366"/>
      <c r="H590" s="367"/>
      <c r="I590" s="367"/>
      <c r="J590" s="360"/>
      <c r="K590" s="360"/>
    </row>
    <row r="591" spans="2:11" ht="31.5" customHeight="1">
      <c r="B591" s="369"/>
      <c r="C591" s="356"/>
      <c r="D591" s="356"/>
      <c r="E591" s="364"/>
      <c r="F591" s="365"/>
      <c r="G591" s="366"/>
      <c r="H591" s="367"/>
      <c r="I591" s="367"/>
      <c r="J591" s="360"/>
      <c r="K591" s="360"/>
    </row>
    <row r="592" spans="2:11" ht="31.5" customHeight="1">
      <c r="B592" s="385"/>
      <c r="C592" s="386"/>
      <c r="D592" s="386"/>
      <c r="E592" s="387"/>
      <c r="F592" s="388"/>
      <c r="G592" s="389"/>
      <c r="H592" s="390"/>
      <c r="I592" s="390"/>
      <c r="J592" s="391"/>
      <c r="K592" s="391"/>
    </row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</sheetData>
  <sheetProtection insertRows="0" deleteRows="0" selectLockedCells="1"/>
  <mergeCells count="14">
    <mergeCell ref="L9:N9"/>
    <mergeCell ref="B2:K2"/>
    <mergeCell ref="J4:K4"/>
    <mergeCell ref="J5:K5"/>
    <mergeCell ref="J6:K6"/>
    <mergeCell ref="J7:K7"/>
    <mergeCell ref="B4:E4"/>
    <mergeCell ref="B5:E5"/>
    <mergeCell ref="B6:E6"/>
    <mergeCell ref="B7:E7"/>
    <mergeCell ref="F4:I4"/>
    <mergeCell ref="F5:I5"/>
    <mergeCell ref="F6:I6"/>
    <mergeCell ref="F7:I7"/>
  </mergeCells>
  <conditionalFormatting sqref="F158:G201 F202:F203 F232 F240:G241 F246:G254 F64:F157 F63:G63 E21:F61">
    <cfRule type="cellIs" dxfId="158" priority="23185" stopIfTrue="1" operator="equal">
      <formula>0</formula>
    </cfRule>
  </conditionalFormatting>
  <conditionalFormatting sqref="E51:E60">
    <cfRule type="cellIs" dxfId="157" priority="12647" stopIfTrue="1" operator="equal">
      <formula>0</formula>
    </cfRule>
  </conditionalFormatting>
  <conditionalFormatting sqref="F51:F60">
    <cfRule type="cellIs" dxfId="156" priority="12646" stopIfTrue="1" operator="equal">
      <formula>0</formula>
    </cfRule>
  </conditionalFormatting>
  <conditionalFormatting sqref="E53">
    <cfRule type="cellIs" dxfId="155" priority="12523" stopIfTrue="1" operator="equal">
      <formula>0</formula>
    </cfRule>
  </conditionalFormatting>
  <conditionalFormatting sqref="F53">
    <cfRule type="cellIs" dxfId="154" priority="12522" stopIfTrue="1" operator="equal">
      <formula>0</formula>
    </cfRule>
  </conditionalFormatting>
  <conditionalFormatting sqref="E54:E60">
    <cfRule type="cellIs" dxfId="153" priority="12136" stopIfTrue="1" operator="equal">
      <formula>0</formula>
    </cfRule>
  </conditionalFormatting>
  <conditionalFormatting sqref="F54:F60">
    <cfRule type="cellIs" dxfId="152" priority="12135" stopIfTrue="1" operator="equal">
      <formula>0</formula>
    </cfRule>
  </conditionalFormatting>
  <conditionalFormatting sqref="E54">
    <cfRule type="cellIs" dxfId="151" priority="11703" stopIfTrue="1" operator="equal">
      <formula>0</formula>
    </cfRule>
  </conditionalFormatting>
  <conditionalFormatting sqref="F54">
    <cfRule type="cellIs" dxfId="150" priority="11702" stopIfTrue="1" operator="equal">
      <formula>0</formula>
    </cfRule>
  </conditionalFormatting>
  <conditionalFormatting sqref="E54">
    <cfRule type="cellIs" dxfId="149" priority="10925" stopIfTrue="1" operator="equal">
      <formula>0</formula>
    </cfRule>
  </conditionalFormatting>
  <conditionalFormatting sqref="F54">
    <cfRule type="cellIs" dxfId="148" priority="10924" stopIfTrue="1" operator="equal">
      <formula>0</formula>
    </cfRule>
  </conditionalFormatting>
  <conditionalFormatting sqref="E55">
    <cfRule type="cellIs" dxfId="147" priority="10147" stopIfTrue="1" operator="equal">
      <formula>0</formula>
    </cfRule>
  </conditionalFormatting>
  <conditionalFormatting sqref="F55">
    <cfRule type="cellIs" dxfId="146" priority="10146" stopIfTrue="1" operator="equal">
      <formula>0</formula>
    </cfRule>
  </conditionalFormatting>
  <conditionalFormatting sqref="E54">
    <cfRule type="cellIs" dxfId="145" priority="9369" stopIfTrue="1" operator="equal">
      <formula>0</formula>
    </cfRule>
  </conditionalFormatting>
  <conditionalFormatting sqref="F54">
    <cfRule type="cellIs" dxfId="144" priority="9368" stopIfTrue="1" operator="equal">
      <formula>0</formula>
    </cfRule>
  </conditionalFormatting>
  <conditionalFormatting sqref="E55">
    <cfRule type="cellIs" dxfId="143" priority="8591" stopIfTrue="1" operator="equal">
      <formula>0</formula>
    </cfRule>
  </conditionalFormatting>
  <conditionalFormatting sqref="F55">
    <cfRule type="cellIs" dxfId="142" priority="8590" stopIfTrue="1" operator="equal">
      <formula>0</formula>
    </cfRule>
  </conditionalFormatting>
  <conditionalFormatting sqref="E55">
    <cfRule type="cellIs" dxfId="141" priority="7813" stopIfTrue="1" operator="equal">
      <formula>0</formula>
    </cfRule>
  </conditionalFormatting>
  <conditionalFormatting sqref="F55">
    <cfRule type="cellIs" dxfId="140" priority="7812" stopIfTrue="1" operator="equal">
      <formula>0</formula>
    </cfRule>
  </conditionalFormatting>
  <conditionalFormatting sqref="E56">
    <cfRule type="cellIs" dxfId="139" priority="7035" stopIfTrue="1" operator="equal">
      <formula>0</formula>
    </cfRule>
  </conditionalFormatting>
  <conditionalFormatting sqref="F56">
    <cfRule type="cellIs" dxfId="138" priority="7034" stopIfTrue="1" operator="equal">
      <formula>0</formula>
    </cfRule>
  </conditionalFormatting>
  <conditionalFormatting sqref="E54">
    <cfRule type="cellIs" dxfId="137" priority="6257" stopIfTrue="1" operator="equal">
      <formula>0</formula>
    </cfRule>
  </conditionalFormatting>
  <conditionalFormatting sqref="F54">
    <cfRule type="cellIs" dxfId="136" priority="6256" stopIfTrue="1" operator="equal">
      <formula>0</formula>
    </cfRule>
  </conditionalFormatting>
  <conditionalFormatting sqref="E55">
    <cfRule type="cellIs" dxfId="135" priority="5479" stopIfTrue="1" operator="equal">
      <formula>0</formula>
    </cfRule>
  </conditionalFormatting>
  <conditionalFormatting sqref="F55">
    <cfRule type="cellIs" dxfId="134" priority="5478" stopIfTrue="1" operator="equal">
      <formula>0</formula>
    </cfRule>
  </conditionalFormatting>
  <conditionalFormatting sqref="E55">
    <cfRule type="cellIs" dxfId="133" priority="4701" stopIfTrue="1" operator="equal">
      <formula>0</formula>
    </cfRule>
  </conditionalFormatting>
  <conditionalFormatting sqref="F55">
    <cfRule type="cellIs" dxfId="132" priority="4700" stopIfTrue="1" operator="equal">
      <formula>0</formula>
    </cfRule>
  </conditionalFormatting>
  <conditionalFormatting sqref="E56">
    <cfRule type="cellIs" dxfId="131" priority="3923" stopIfTrue="1" operator="equal">
      <formula>0</formula>
    </cfRule>
  </conditionalFormatting>
  <conditionalFormatting sqref="F56">
    <cfRule type="cellIs" dxfId="130" priority="3922" stopIfTrue="1" operator="equal">
      <formula>0</formula>
    </cfRule>
  </conditionalFormatting>
  <conditionalFormatting sqref="E55">
    <cfRule type="cellIs" dxfId="129" priority="3145" stopIfTrue="1" operator="equal">
      <formula>0</formula>
    </cfRule>
  </conditionalFormatting>
  <conditionalFormatting sqref="F55">
    <cfRule type="cellIs" dxfId="128" priority="3144" stopIfTrue="1" operator="equal">
      <formula>0</formula>
    </cfRule>
  </conditionalFormatting>
  <conditionalFormatting sqref="E56">
    <cfRule type="cellIs" dxfId="127" priority="2367" stopIfTrue="1" operator="equal">
      <formula>0</formula>
    </cfRule>
  </conditionalFormatting>
  <conditionalFormatting sqref="F56">
    <cfRule type="cellIs" dxfId="126" priority="2366" stopIfTrue="1" operator="equal">
      <formula>0</formula>
    </cfRule>
  </conditionalFormatting>
  <conditionalFormatting sqref="E56">
    <cfRule type="cellIs" dxfId="125" priority="1589" stopIfTrue="1" operator="equal">
      <formula>0</formula>
    </cfRule>
  </conditionalFormatting>
  <conditionalFormatting sqref="F56">
    <cfRule type="cellIs" dxfId="124" priority="1588" stopIfTrue="1" operator="equal">
      <formula>0</formula>
    </cfRule>
  </conditionalFormatting>
  <conditionalFormatting sqref="E57">
    <cfRule type="cellIs" dxfId="123" priority="811" stopIfTrue="1" operator="equal">
      <formula>0</formula>
    </cfRule>
  </conditionalFormatting>
  <conditionalFormatting sqref="F57">
    <cfRule type="cellIs" dxfId="122" priority="810" stopIfTrue="1" operator="equal">
      <formula>0</formula>
    </cfRule>
  </conditionalFormatting>
  <conditionalFormatting sqref="E54">
    <cfRule type="cellIs" dxfId="121" priority="115" stopIfTrue="1" operator="equal">
      <formula>0</formula>
    </cfRule>
  </conditionalFormatting>
  <conditionalFormatting sqref="F54">
    <cfRule type="cellIs" dxfId="120" priority="114" stopIfTrue="1" operator="equal">
      <formula>0</formula>
    </cfRule>
  </conditionalFormatting>
  <conditionalFormatting sqref="E55">
    <cfRule type="cellIs" dxfId="119" priority="113" stopIfTrue="1" operator="equal">
      <formula>0</formula>
    </cfRule>
  </conditionalFormatting>
  <conditionalFormatting sqref="F55">
    <cfRule type="cellIs" dxfId="118" priority="112" stopIfTrue="1" operator="equal">
      <formula>0</formula>
    </cfRule>
  </conditionalFormatting>
  <conditionalFormatting sqref="E55">
    <cfRule type="cellIs" dxfId="117" priority="111" stopIfTrue="1" operator="equal">
      <formula>0</formula>
    </cfRule>
  </conditionalFormatting>
  <conditionalFormatting sqref="F55">
    <cfRule type="cellIs" dxfId="116" priority="110" stopIfTrue="1" operator="equal">
      <formula>0</formula>
    </cfRule>
  </conditionalFormatting>
  <conditionalFormatting sqref="E56">
    <cfRule type="cellIs" dxfId="115" priority="109" stopIfTrue="1" operator="equal">
      <formula>0</formula>
    </cfRule>
  </conditionalFormatting>
  <conditionalFormatting sqref="F56">
    <cfRule type="cellIs" dxfId="114" priority="108" stopIfTrue="1" operator="equal">
      <formula>0</formula>
    </cfRule>
  </conditionalFormatting>
  <conditionalFormatting sqref="E55">
    <cfRule type="cellIs" dxfId="113" priority="107" stopIfTrue="1" operator="equal">
      <formula>0</formula>
    </cfRule>
  </conditionalFormatting>
  <conditionalFormatting sqref="F55">
    <cfRule type="cellIs" dxfId="112" priority="106" stopIfTrue="1" operator="equal">
      <formula>0</formula>
    </cfRule>
  </conditionalFormatting>
  <conditionalFormatting sqref="E56">
    <cfRule type="cellIs" dxfId="111" priority="105" stopIfTrue="1" operator="equal">
      <formula>0</formula>
    </cfRule>
  </conditionalFormatting>
  <conditionalFormatting sqref="F56">
    <cfRule type="cellIs" dxfId="110" priority="104" stopIfTrue="1" operator="equal">
      <formula>0</formula>
    </cfRule>
  </conditionalFormatting>
  <conditionalFormatting sqref="E56">
    <cfRule type="cellIs" dxfId="109" priority="103" stopIfTrue="1" operator="equal">
      <formula>0</formula>
    </cfRule>
  </conditionalFormatting>
  <conditionalFormatting sqref="F56">
    <cfRule type="cellIs" dxfId="108" priority="102" stopIfTrue="1" operator="equal">
      <formula>0</formula>
    </cfRule>
  </conditionalFormatting>
  <conditionalFormatting sqref="E57">
    <cfRule type="cellIs" dxfId="107" priority="101" stopIfTrue="1" operator="equal">
      <formula>0</formula>
    </cfRule>
  </conditionalFormatting>
  <conditionalFormatting sqref="F57">
    <cfRule type="cellIs" dxfId="106" priority="100" stopIfTrue="1" operator="equal">
      <formula>0</formula>
    </cfRule>
  </conditionalFormatting>
  <conditionalFormatting sqref="E55">
    <cfRule type="cellIs" dxfId="105" priority="99" stopIfTrue="1" operator="equal">
      <formula>0</formula>
    </cfRule>
  </conditionalFormatting>
  <conditionalFormatting sqref="F55">
    <cfRule type="cellIs" dxfId="104" priority="98" stopIfTrue="1" operator="equal">
      <formula>0</formula>
    </cfRule>
  </conditionalFormatting>
  <conditionalFormatting sqref="E56">
    <cfRule type="cellIs" dxfId="103" priority="97" stopIfTrue="1" operator="equal">
      <formula>0</formula>
    </cfRule>
  </conditionalFormatting>
  <conditionalFormatting sqref="F56">
    <cfRule type="cellIs" dxfId="102" priority="96" stopIfTrue="1" operator="equal">
      <formula>0</formula>
    </cfRule>
  </conditionalFormatting>
  <conditionalFormatting sqref="E56">
    <cfRule type="cellIs" dxfId="101" priority="95" stopIfTrue="1" operator="equal">
      <formula>0</formula>
    </cfRule>
  </conditionalFormatting>
  <conditionalFormatting sqref="F56">
    <cfRule type="cellIs" dxfId="100" priority="94" stopIfTrue="1" operator="equal">
      <formula>0</formula>
    </cfRule>
  </conditionalFormatting>
  <conditionalFormatting sqref="E57">
    <cfRule type="cellIs" dxfId="99" priority="93" stopIfTrue="1" operator="equal">
      <formula>0</formula>
    </cfRule>
  </conditionalFormatting>
  <conditionalFormatting sqref="F57">
    <cfRule type="cellIs" dxfId="98" priority="92" stopIfTrue="1" operator="equal">
      <formula>0</formula>
    </cfRule>
  </conditionalFormatting>
  <conditionalFormatting sqref="E56">
    <cfRule type="cellIs" dxfId="97" priority="91" stopIfTrue="1" operator="equal">
      <formula>0</formula>
    </cfRule>
  </conditionalFormatting>
  <conditionalFormatting sqref="F56">
    <cfRule type="cellIs" dxfId="96" priority="90" stopIfTrue="1" operator="equal">
      <formula>0</formula>
    </cfRule>
  </conditionalFormatting>
  <conditionalFormatting sqref="E57">
    <cfRule type="cellIs" dxfId="95" priority="89" stopIfTrue="1" operator="equal">
      <formula>0</formula>
    </cfRule>
  </conditionalFormatting>
  <conditionalFormatting sqref="F57">
    <cfRule type="cellIs" dxfId="94" priority="88" stopIfTrue="1" operator="equal">
      <formula>0</formula>
    </cfRule>
  </conditionalFormatting>
  <conditionalFormatting sqref="E57">
    <cfRule type="cellIs" dxfId="93" priority="87" stopIfTrue="1" operator="equal">
      <formula>0</formula>
    </cfRule>
  </conditionalFormatting>
  <conditionalFormatting sqref="F57">
    <cfRule type="cellIs" dxfId="92" priority="86" stopIfTrue="1" operator="equal">
      <formula>0</formula>
    </cfRule>
  </conditionalFormatting>
  <conditionalFormatting sqref="E58">
    <cfRule type="cellIs" dxfId="91" priority="85" stopIfTrue="1" operator="equal">
      <formula>0</formula>
    </cfRule>
  </conditionalFormatting>
  <conditionalFormatting sqref="F58">
    <cfRule type="cellIs" dxfId="90" priority="84" stopIfTrue="1" operator="equal">
      <formula>0</formula>
    </cfRule>
  </conditionalFormatting>
  <conditionalFormatting sqref="E54">
    <cfRule type="cellIs" dxfId="89" priority="83" stopIfTrue="1" operator="equal">
      <formula>0</formula>
    </cfRule>
  </conditionalFormatting>
  <conditionalFormatting sqref="F54">
    <cfRule type="cellIs" dxfId="88" priority="82" stopIfTrue="1" operator="equal">
      <formula>0</formula>
    </cfRule>
  </conditionalFormatting>
  <conditionalFormatting sqref="E55">
    <cfRule type="cellIs" dxfId="87" priority="81" stopIfTrue="1" operator="equal">
      <formula>0</formula>
    </cfRule>
  </conditionalFormatting>
  <conditionalFormatting sqref="F55">
    <cfRule type="cellIs" dxfId="86" priority="80" stopIfTrue="1" operator="equal">
      <formula>0</formula>
    </cfRule>
  </conditionalFormatting>
  <conditionalFormatting sqref="E55">
    <cfRule type="cellIs" dxfId="85" priority="79" stopIfTrue="1" operator="equal">
      <formula>0</formula>
    </cfRule>
  </conditionalFormatting>
  <conditionalFormatting sqref="F55">
    <cfRule type="cellIs" dxfId="84" priority="78" stopIfTrue="1" operator="equal">
      <formula>0</formula>
    </cfRule>
  </conditionalFormatting>
  <conditionalFormatting sqref="E56">
    <cfRule type="cellIs" dxfId="83" priority="77" stopIfTrue="1" operator="equal">
      <formula>0</formula>
    </cfRule>
  </conditionalFormatting>
  <conditionalFormatting sqref="F56">
    <cfRule type="cellIs" dxfId="82" priority="76" stopIfTrue="1" operator="equal">
      <formula>0</formula>
    </cfRule>
  </conditionalFormatting>
  <conditionalFormatting sqref="E55">
    <cfRule type="cellIs" dxfId="81" priority="75" stopIfTrue="1" operator="equal">
      <formula>0</formula>
    </cfRule>
  </conditionalFormatting>
  <conditionalFormatting sqref="F55">
    <cfRule type="cellIs" dxfId="80" priority="74" stopIfTrue="1" operator="equal">
      <formula>0</formula>
    </cfRule>
  </conditionalFormatting>
  <conditionalFormatting sqref="E56">
    <cfRule type="cellIs" dxfId="79" priority="73" stopIfTrue="1" operator="equal">
      <formula>0</formula>
    </cfRule>
  </conditionalFormatting>
  <conditionalFormatting sqref="F56">
    <cfRule type="cellIs" dxfId="78" priority="72" stopIfTrue="1" operator="equal">
      <formula>0</formula>
    </cfRule>
  </conditionalFormatting>
  <conditionalFormatting sqref="E56">
    <cfRule type="cellIs" dxfId="77" priority="71" stopIfTrue="1" operator="equal">
      <formula>0</formula>
    </cfRule>
  </conditionalFormatting>
  <conditionalFormatting sqref="F56">
    <cfRule type="cellIs" dxfId="76" priority="70" stopIfTrue="1" operator="equal">
      <formula>0</formula>
    </cfRule>
  </conditionalFormatting>
  <conditionalFormatting sqref="E57">
    <cfRule type="cellIs" dxfId="75" priority="69" stopIfTrue="1" operator="equal">
      <formula>0</formula>
    </cfRule>
  </conditionalFormatting>
  <conditionalFormatting sqref="F57">
    <cfRule type="cellIs" dxfId="74" priority="68" stopIfTrue="1" operator="equal">
      <formula>0</formula>
    </cfRule>
  </conditionalFormatting>
  <conditionalFormatting sqref="E55">
    <cfRule type="cellIs" dxfId="73" priority="67" stopIfTrue="1" operator="equal">
      <formula>0</formula>
    </cfRule>
  </conditionalFormatting>
  <conditionalFormatting sqref="F55">
    <cfRule type="cellIs" dxfId="72" priority="66" stopIfTrue="1" operator="equal">
      <formula>0</formula>
    </cfRule>
  </conditionalFormatting>
  <conditionalFormatting sqref="E56">
    <cfRule type="cellIs" dxfId="71" priority="65" stopIfTrue="1" operator="equal">
      <formula>0</formula>
    </cfRule>
  </conditionalFormatting>
  <conditionalFormatting sqref="F56">
    <cfRule type="cellIs" dxfId="70" priority="64" stopIfTrue="1" operator="equal">
      <formula>0</formula>
    </cfRule>
  </conditionalFormatting>
  <conditionalFormatting sqref="E56">
    <cfRule type="cellIs" dxfId="69" priority="63" stopIfTrue="1" operator="equal">
      <formula>0</formula>
    </cfRule>
  </conditionalFormatting>
  <conditionalFormatting sqref="F56">
    <cfRule type="cellIs" dxfId="68" priority="62" stopIfTrue="1" operator="equal">
      <formula>0</formula>
    </cfRule>
  </conditionalFormatting>
  <conditionalFormatting sqref="E57">
    <cfRule type="cellIs" dxfId="67" priority="61" stopIfTrue="1" operator="equal">
      <formula>0</formula>
    </cfRule>
  </conditionalFormatting>
  <conditionalFormatting sqref="F57">
    <cfRule type="cellIs" dxfId="66" priority="60" stopIfTrue="1" operator="equal">
      <formula>0</formula>
    </cfRule>
  </conditionalFormatting>
  <conditionalFormatting sqref="E56">
    <cfRule type="cellIs" dxfId="65" priority="59" stopIfTrue="1" operator="equal">
      <formula>0</formula>
    </cfRule>
  </conditionalFormatting>
  <conditionalFormatting sqref="F56">
    <cfRule type="cellIs" dxfId="64" priority="58" stopIfTrue="1" operator="equal">
      <formula>0</formula>
    </cfRule>
  </conditionalFormatting>
  <conditionalFormatting sqref="E57">
    <cfRule type="cellIs" dxfId="63" priority="57" stopIfTrue="1" operator="equal">
      <formula>0</formula>
    </cfRule>
  </conditionalFormatting>
  <conditionalFormatting sqref="F57">
    <cfRule type="cellIs" dxfId="62" priority="56" stopIfTrue="1" operator="equal">
      <formula>0</formula>
    </cfRule>
  </conditionalFormatting>
  <conditionalFormatting sqref="E57">
    <cfRule type="cellIs" dxfId="61" priority="55" stopIfTrue="1" operator="equal">
      <formula>0</formula>
    </cfRule>
  </conditionalFormatting>
  <conditionalFormatting sqref="F57">
    <cfRule type="cellIs" dxfId="60" priority="54" stopIfTrue="1" operator="equal">
      <formula>0</formula>
    </cfRule>
  </conditionalFormatting>
  <conditionalFormatting sqref="E58">
    <cfRule type="cellIs" dxfId="59" priority="53" stopIfTrue="1" operator="equal">
      <formula>0</formula>
    </cfRule>
  </conditionalFormatting>
  <conditionalFormatting sqref="F58">
    <cfRule type="cellIs" dxfId="58" priority="52" stopIfTrue="1" operator="equal">
      <formula>0</formula>
    </cfRule>
  </conditionalFormatting>
  <conditionalFormatting sqref="E55">
    <cfRule type="cellIs" dxfId="57" priority="51" stopIfTrue="1" operator="equal">
      <formula>0</formula>
    </cfRule>
  </conditionalFormatting>
  <conditionalFormatting sqref="F55">
    <cfRule type="cellIs" dxfId="56" priority="50" stopIfTrue="1" operator="equal">
      <formula>0</formula>
    </cfRule>
  </conditionalFormatting>
  <conditionalFormatting sqref="E56">
    <cfRule type="cellIs" dxfId="55" priority="49" stopIfTrue="1" operator="equal">
      <formula>0</formula>
    </cfRule>
  </conditionalFormatting>
  <conditionalFormatting sqref="F56">
    <cfRule type="cellIs" dxfId="54" priority="48" stopIfTrue="1" operator="equal">
      <formula>0</formula>
    </cfRule>
  </conditionalFormatting>
  <conditionalFormatting sqref="E56">
    <cfRule type="cellIs" dxfId="53" priority="47" stopIfTrue="1" operator="equal">
      <formula>0</formula>
    </cfRule>
  </conditionalFormatting>
  <conditionalFormatting sqref="F56">
    <cfRule type="cellIs" dxfId="52" priority="46" stopIfTrue="1" operator="equal">
      <formula>0</formula>
    </cfRule>
  </conditionalFormatting>
  <conditionalFormatting sqref="E57">
    <cfRule type="cellIs" dxfId="51" priority="45" stopIfTrue="1" operator="equal">
      <formula>0</formula>
    </cfRule>
  </conditionalFormatting>
  <conditionalFormatting sqref="F57">
    <cfRule type="cellIs" dxfId="50" priority="44" stopIfTrue="1" operator="equal">
      <formula>0</formula>
    </cfRule>
  </conditionalFormatting>
  <conditionalFormatting sqref="E56">
    <cfRule type="cellIs" dxfId="49" priority="43" stopIfTrue="1" operator="equal">
      <formula>0</formula>
    </cfRule>
  </conditionalFormatting>
  <conditionalFormatting sqref="F56">
    <cfRule type="cellIs" dxfId="48" priority="42" stopIfTrue="1" operator="equal">
      <formula>0</formula>
    </cfRule>
  </conditionalFormatting>
  <conditionalFormatting sqref="E57">
    <cfRule type="cellIs" dxfId="47" priority="41" stopIfTrue="1" operator="equal">
      <formula>0</formula>
    </cfRule>
  </conditionalFormatting>
  <conditionalFormatting sqref="F57">
    <cfRule type="cellIs" dxfId="46" priority="40" stopIfTrue="1" operator="equal">
      <formula>0</formula>
    </cfRule>
  </conditionalFormatting>
  <conditionalFormatting sqref="E57">
    <cfRule type="cellIs" dxfId="45" priority="39" stopIfTrue="1" operator="equal">
      <formula>0</formula>
    </cfRule>
  </conditionalFormatting>
  <conditionalFormatting sqref="F57">
    <cfRule type="cellIs" dxfId="44" priority="38" stopIfTrue="1" operator="equal">
      <formula>0</formula>
    </cfRule>
  </conditionalFormatting>
  <conditionalFormatting sqref="E58">
    <cfRule type="cellIs" dxfId="43" priority="37" stopIfTrue="1" operator="equal">
      <formula>0</formula>
    </cfRule>
  </conditionalFormatting>
  <conditionalFormatting sqref="F58">
    <cfRule type="cellIs" dxfId="42" priority="36" stopIfTrue="1" operator="equal">
      <formula>0</formula>
    </cfRule>
  </conditionalFormatting>
  <conditionalFormatting sqref="E56">
    <cfRule type="cellIs" dxfId="41" priority="35" stopIfTrue="1" operator="equal">
      <formula>0</formula>
    </cfRule>
  </conditionalFormatting>
  <conditionalFormatting sqref="F56">
    <cfRule type="cellIs" dxfId="40" priority="34" stopIfTrue="1" operator="equal">
      <formula>0</formula>
    </cfRule>
  </conditionalFormatting>
  <conditionalFormatting sqref="E57">
    <cfRule type="cellIs" dxfId="39" priority="33" stopIfTrue="1" operator="equal">
      <formula>0</formula>
    </cfRule>
  </conditionalFormatting>
  <conditionalFormatting sqref="F57">
    <cfRule type="cellIs" dxfId="38" priority="32" stopIfTrue="1" operator="equal">
      <formula>0</formula>
    </cfRule>
  </conditionalFormatting>
  <conditionalFormatting sqref="E57">
    <cfRule type="cellIs" dxfId="37" priority="31" stopIfTrue="1" operator="equal">
      <formula>0</formula>
    </cfRule>
  </conditionalFormatting>
  <conditionalFormatting sqref="F57">
    <cfRule type="cellIs" dxfId="36" priority="30" stopIfTrue="1" operator="equal">
      <formula>0</formula>
    </cfRule>
  </conditionalFormatting>
  <conditionalFormatting sqref="E58">
    <cfRule type="cellIs" dxfId="35" priority="29" stopIfTrue="1" operator="equal">
      <formula>0</formula>
    </cfRule>
  </conditionalFormatting>
  <conditionalFormatting sqref="F58">
    <cfRule type="cellIs" dxfId="34" priority="28" stopIfTrue="1" operator="equal">
      <formula>0</formula>
    </cfRule>
  </conditionalFormatting>
  <conditionalFormatting sqref="E57">
    <cfRule type="cellIs" dxfId="33" priority="27" stopIfTrue="1" operator="equal">
      <formula>0</formula>
    </cfRule>
  </conditionalFormatting>
  <conditionalFormatting sqref="F57">
    <cfRule type="cellIs" dxfId="32" priority="26" stopIfTrue="1" operator="equal">
      <formula>0</formula>
    </cfRule>
  </conditionalFormatting>
  <conditionalFormatting sqref="E58">
    <cfRule type="cellIs" dxfId="31" priority="25" stopIfTrue="1" operator="equal">
      <formula>0</formula>
    </cfRule>
  </conditionalFormatting>
  <conditionalFormatting sqref="F58">
    <cfRule type="cellIs" dxfId="30" priority="24" stopIfTrue="1" operator="equal">
      <formula>0</formula>
    </cfRule>
  </conditionalFormatting>
  <conditionalFormatting sqref="E58">
    <cfRule type="cellIs" dxfId="29" priority="23" stopIfTrue="1" operator="equal">
      <formula>0</formula>
    </cfRule>
  </conditionalFormatting>
  <conditionalFormatting sqref="F58">
    <cfRule type="cellIs" dxfId="28" priority="22" stopIfTrue="1" operator="equal">
      <formula>0</formula>
    </cfRule>
  </conditionalFormatting>
  <conditionalFormatting sqref="E59">
    <cfRule type="cellIs" dxfId="27" priority="21" stopIfTrue="1" operator="equal">
      <formula>0</formula>
    </cfRule>
  </conditionalFormatting>
  <conditionalFormatting sqref="F59">
    <cfRule type="cellIs" dxfId="26" priority="20" stopIfTrue="1" operator="equal">
      <formula>0</formula>
    </cfRule>
  </conditionalFormatting>
  <conditionalFormatting sqref="D20 J20">
    <cfRule type="cellIs" dxfId="25" priority="19" stopIfTrue="1" operator="equal">
      <formula>0</formula>
    </cfRule>
  </conditionalFormatting>
  <conditionalFormatting sqref="E20">
    <cfRule type="cellIs" dxfId="24" priority="18" stopIfTrue="1" operator="equal">
      <formula>0</formula>
    </cfRule>
  </conditionalFormatting>
  <conditionalFormatting sqref="D19 J19">
    <cfRule type="cellIs" dxfId="23" priority="17" stopIfTrue="1" operator="equal">
      <formula>0</formula>
    </cfRule>
  </conditionalFormatting>
  <conditionalFormatting sqref="E19">
    <cfRule type="cellIs" dxfId="22" priority="16" stopIfTrue="1" operator="equal">
      <formula>0</formula>
    </cfRule>
  </conditionalFormatting>
  <conditionalFormatting sqref="J18 D17:D18">
    <cfRule type="cellIs" dxfId="21" priority="13" stopIfTrue="1" operator="equal">
      <formula>0</formula>
    </cfRule>
  </conditionalFormatting>
  <conditionalFormatting sqref="E18">
    <cfRule type="cellIs" dxfId="20" priority="12" stopIfTrue="1" operator="equal">
      <formula>0</formula>
    </cfRule>
  </conditionalFormatting>
  <conditionalFormatting sqref="E17">
    <cfRule type="cellIs" dxfId="19" priority="10" stopIfTrue="1" operator="equal">
      <formula>0</formula>
    </cfRule>
  </conditionalFormatting>
  <conditionalFormatting sqref="J17">
    <cfRule type="cellIs" dxfId="18" priority="9" stopIfTrue="1" operator="equal">
      <formula>0</formula>
    </cfRule>
  </conditionalFormatting>
  <conditionalFormatting sqref="D14">
    <cfRule type="cellIs" dxfId="17" priority="8" stopIfTrue="1" operator="equal">
      <formula>0</formula>
    </cfRule>
  </conditionalFormatting>
  <conditionalFormatting sqref="D15">
    <cfRule type="cellIs" dxfId="16" priority="7" stopIfTrue="1" operator="equal">
      <formula>0</formula>
    </cfRule>
  </conditionalFormatting>
  <conditionalFormatting sqref="D13">
    <cfRule type="cellIs" dxfId="15" priority="5" stopIfTrue="1" operator="equal">
      <formula>0</formula>
    </cfRule>
  </conditionalFormatting>
  <conditionalFormatting sqref="D12">
    <cfRule type="cellIs" dxfId="14" priority="4" stopIfTrue="1" operator="equal">
      <formula>0</formula>
    </cfRule>
  </conditionalFormatting>
  <conditionalFormatting sqref="D11">
    <cfRule type="cellIs" dxfId="13" priority="2" stopIfTrue="1" operator="equal">
      <formula>0</formula>
    </cfRule>
  </conditionalFormatting>
  <conditionalFormatting sqref="D10">
    <cfRule type="cellIs" dxfId="12" priority="1" stopIfTrue="1" operator="equal">
      <formula>0</formula>
    </cfRule>
  </conditionalFormatting>
  <printOptions horizontalCentered="1"/>
  <pageMargins left="0.39370078740157499" right="0.39370078740157499" top="0.94" bottom="0.63" header="0.511811023622047" footer="0.56000000000000005"/>
  <pageSetup paperSize="9" scale="59" fitToHeight="0" orientation="portrait" r:id="rId1"/>
  <headerFooter alignWithMargins="0"/>
  <rowBreaks count="2" manualBreakCount="2">
    <brk id="180" min="1" max="9" man="1"/>
    <brk id="250" min="1" max="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C00000"/>
    <pageSetUpPr fitToPage="1"/>
  </sheetPr>
  <dimension ref="B1:L708"/>
  <sheetViews>
    <sheetView showGridLines="0" showZeros="0" view="pageBreakPreview" zoomScale="70" zoomScaleNormal="100" zoomScaleSheetLayoutView="70" workbookViewId="0">
      <selection activeCell="N10" sqref="N10"/>
    </sheetView>
  </sheetViews>
  <sheetFormatPr defaultColWidth="11.42578125" defaultRowHeight="14.25"/>
  <cols>
    <col min="1" max="1" width="4.5703125" style="316" customWidth="1"/>
    <col min="2" max="2" width="6.140625" style="392" customWidth="1"/>
    <col min="3" max="3" width="20" style="346" customWidth="1"/>
    <col min="4" max="4" width="20" style="393" customWidth="1"/>
    <col min="5" max="5" width="14.28515625" style="394" customWidth="1"/>
    <col min="6" max="6" width="14.28515625" style="395" customWidth="1"/>
    <col min="7" max="7" width="10.42578125" style="396" customWidth="1"/>
    <col min="8" max="8" width="10.42578125" style="397" customWidth="1"/>
    <col min="9" max="9" width="14.28515625" style="397" customWidth="1"/>
    <col min="10" max="10" width="41.42578125" style="316" customWidth="1"/>
    <col min="11" max="11" width="13" style="316" customWidth="1"/>
    <col min="12" max="16384" width="11.42578125" style="316"/>
  </cols>
  <sheetData>
    <row r="1" spans="2:12" ht="27.75" customHeight="1">
      <c r="B1" s="311"/>
      <c r="C1" s="312"/>
      <c r="D1" s="313"/>
      <c r="E1" s="314"/>
      <c r="F1" s="314"/>
      <c r="G1" s="315"/>
      <c r="H1" s="312"/>
      <c r="I1" s="312"/>
    </row>
    <row r="2" spans="2:12" ht="33.75" customHeight="1">
      <c r="B2" s="1288" t="s">
        <v>392</v>
      </c>
      <c r="C2" s="1288"/>
      <c r="D2" s="1288"/>
      <c r="E2" s="1288"/>
      <c r="F2" s="1288"/>
      <c r="G2" s="1288"/>
      <c r="H2" s="1288"/>
      <c r="I2" s="1288"/>
      <c r="J2" s="1288"/>
      <c r="K2" s="1288"/>
    </row>
    <row r="3" spans="2:12" ht="18.75" customHeight="1">
      <c r="B3" s="317"/>
      <c r="C3" s="318"/>
      <c r="D3" s="319"/>
      <c r="E3" s="320"/>
      <c r="F3" s="321"/>
      <c r="G3" s="322"/>
      <c r="H3" s="323"/>
      <c r="I3" s="323"/>
    </row>
    <row r="4" spans="2:12" s="535" customFormat="1" ht="18.75" customHeight="1">
      <c r="B4" s="1299" t="s">
        <v>93</v>
      </c>
      <c r="C4" s="1299"/>
      <c r="D4" s="1299"/>
      <c r="E4" s="1299"/>
      <c r="F4" s="1299" t="s">
        <v>163</v>
      </c>
      <c r="G4" s="1299"/>
      <c r="H4" s="1299"/>
      <c r="I4" s="1299"/>
      <c r="J4" s="1299" t="s">
        <v>95</v>
      </c>
      <c r="K4" s="1299"/>
    </row>
    <row r="5" spans="2:12" s="324" customFormat="1" ht="18.75" customHeight="1">
      <c r="B5" s="1306" t="str">
        <f>M.Menu!E3</f>
        <v>Energy Endurance</v>
      </c>
      <c r="C5" s="1306"/>
      <c r="D5" s="1306"/>
      <c r="E5" s="1306"/>
      <c r="F5" s="1300">
        <f>M.Menu!L3</f>
        <v>9948695</v>
      </c>
      <c r="G5" s="1300"/>
      <c r="H5" s="1300"/>
      <c r="I5" s="1300"/>
      <c r="J5" s="1307" t="str">
        <f>ListofPort!J5</f>
        <v>Sabine Pass, U.S.A.</v>
      </c>
      <c r="K5" s="1307"/>
    </row>
    <row r="6" spans="2:12" s="535" customFormat="1" ht="18.75" customHeight="1">
      <c r="B6" s="1299" t="s">
        <v>49</v>
      </c>
      <c r="C6" s="1299"/>
      <c r="D6" s="1299"/>
      <c r="E6" s="1299"/>
      <c r="F6" s="1301" t="s">
        <v>132</v>
      </c>
      <c r="G6" s="1301"/>
      <c r="H6" s="1301"/>
      <c r="I6" s="1301"/>
      <c r="J6" s="1299" t="s">
        <v>472</v>
      </c>
      <c r="K6" s="1299"/>
    </row>
    <row r="7" spans="2:12" s="324" customFormat="1" ht="18.75" customHeight="1">
      <c r="B7" s="1303" t="str">
        <f>M.Menu!L8</f>
        <v>Marshall Islands</v>
      </c>
      <c r="C7" s="1304"/>
      <c r="D7" s="1304"/>
      <c r="E7" s="1304"/>
      <c r="F7" s="1302" t="str">
        <f>M.Menu!E4</f>
        <v>V7A7282</v>
      </c>
      <c r="G7" s="1302"/>
      <c r="H7" s="1302"/>
      <c r="I7" s="1302"/>
      <c r="J7" s="1305" t="str">
        <f>ListofPort!J7</f>
        <v>BARCARENA, BRAZIL</v>
      </c>
      <c r="K7" s="1305"/>
    </row>
    <row r="8" spans="2:12" ht="18.75" customHeight="1">
      <c r="B8" s="325"/>
      <c r="C8" s="326"/>
      <c r="D8" s="325"/>
      <c r="E8" s="327"/>
      <c r="F8" s="328"/>
      <c r="G8" s="329"/>
      <c r="H8" s="330"/>
      <c r="I8" s="330"/>
    </row>
    <row r="9" spans="2:12" s="536" customFormat="1" ht="63.75" customHeight="1">
      <c r="B9" s="909" t="str">
        <f>ListofPort!B9</f>
        <v>No.</v>
      </c>
      <c r="C9" s="909" t="str">
        <f>ListofPort!C9</f>
        <v>PORT</v>
      </c>
      <c r="D9" s="909" t="str">
        <f>ListofPort!D9</f>
        <v>COUNTRY</v>
      </c>
      <c r="E9" s="909" t="str">
        <f>ListofPort!E9</f>
        <v>ARRIVAL</v>
      </c>
      <c r="F9" s="909" t="str">
        <f>ListofPort!F9</f>
        <v>DEPARTURE</v>
      </c>
      <c r="G9" s="909" t="str">
        <f>ListofPort!G9</f>
        <v>Ship Security Level</v>
      </c>
      <c r="H9" s="909" t="str">
        <f>ListofPort!H9</f>
        <v>Port Facility Security Level</v>
      </c>
      <c r="I9" s="909" t="str">
        <f>ListofPort!I9</f>
        <v>Any special or additional security measures taken</v>
      </c>
      <c r="J9" s="909" t="str">
        <f>ListofPort!J9</f>
        <v>REASON OF CALL</v>
      </c>
      <c r="K9" s="909" t="str">
        <f>ListofPort!K9</f>
        <v>UN LOCODE</v>
      </c>
      <c r="L9" s="908"/>
    </row>
    <row r="10" spans="2:12" s="536" customFormat="1" ht="57" customHeight="1">
      <c r="B10" s="999" t="s">
        <v>774</v>
      </c>
      <c r="C10" s="910" t="str">
        <f>ListofPort!C10</f>
        <v>BARCARENA</v>
      </c>
      <c r="D10" s="910" t="str">
        <f>ListofPort!D10</f>
        <v>BRAZIL</v>
      </c>
      <c r="E10" s="911">
        <f>ListofPort!E10</f>
        <v>46079</v>
      </c>
      <c r="F10" s="911">
        <f>ListofPort!F10</f>
        <v>46084</v>
      </c>
      <c r="G10" s="910">
        <f>ListofPort!G10</f>
        <v>1</v>
      </c>
      <c r="H10" s="910">
        <f>ListofPort!H10</f>
        <v>1</v>
      </c>
      <c r="I10" s="910" t="str">
        <f>ListofPort!I10</f>
        <v>No extra measures</v>
      </c>
      <c r="J10" s="910" t="str">
        <f>ListofPort!J10</f>
        <v>Discharging, Crew changes, Receiving Stores and Provisions</v>
      </c>
      <c r="K10" s="910" t="str">
        <f>ListofPort!K10</f>
        <v>BRBCA</v>
      </c>
      <c r="L10" s="908"/>
    </row>
    <row r="11" spans="2:12" s="536" customFormat="1" ht="57" customHeight="1">
      <c r="B11" s="999" t="s">
        <v>938</v>
      </c>
      <c r="C11" s="910" t="str">
        <f>ListofPort!C11</f>
        <v xml:space="preserve">ALTAMIRA </v>
      </c>
      <c r="D11" s="910" t="str">
        <f>ListofPort!D11</f>
        <v>MEXICO</v>
      </c>
      <c r="E11" s="911">
        <f>ListofPort!E11</f>
        <v>46063</v>
      </c>
      <c r="F11" s="911">
        <f>ListofPort!F11</f>
        <v>46065</v>
      </c>
      <c r="G11" s="910">
        <f>ListofPort!G11</f>
        <v>1</v>
      </c>
      <c r="H11" s="910">
        <f>ListofPort!H11</f>
        <v>1</v>
      </c>
      <c r="I11" s="910" t="str">
        <f>ListofPort!I11</f>
        <v>No extra measures</v>
      </c>
      <c r="J11" s="910" t="str">
        <f>ListofPort!J11</f>
        <v>Loading</v>
      </c>
      <c r="K11" s="910" t="str">
        <f>ListofPort!K11</f>
        <v>MXATM</v>
      </c>
      <c r="L11" s="908"/>
    </row>
    <row r="12" spans="2:12" s="536" customFormat="1" ht="57" customHeight="1">
      <c r="B12" s="999" t="s">
        <v>168</v>
      </c>
      <c r="C12" s="910" t="str">
        <f>ListofPort!C12</f>
        <v>SAINT JOHN</v>
      </c>
      <c r="D12" s="910" t="str">
        <f>ListofPort!D12</f>
        <v>CANADA</v>
      </c>
      <c r="E12" s="911">
        <f>ListofPort!E12</f>
        <v>46053</v>
      </c>
      <c r="F12" s="911">
        <f>ListofPort!F12</f>
        <v>46056</v>
      </c>
      <c r="G12" s="910">
        <f>ListofPort!G12</f>
        <v>1</v>
      </c>
      <c r="H12" s="910">
        <f>ListofPort!H12</f>
        <v>1</v>
      </c>
      <c r="I12" s="910" t="str">
        <f>ListofPort!I12</f>
        <v>No extra measures</v>
      </c>
      <c r="J12" s="910" t="str">
        <f>ListofPort!J12</f>
        <v xml:space="preserve">Discharging </v>
      </c>
      <c r="K12" s="910" t="str">
        <f>ListofPort!K12</f>
        <v>CASJB</v>
      </c>
      <c r="L12" s="908"/>
    </row>
    <row r="13" spans="2:12" s="536" customFormat="1" ht="57" customHeight="1">
      <c r="B13" s="999" t="s">
        <v>745</v>
      </c>
      <c r="C13" s="910" t="str">
        <f>ListofPort!C13</f>
        <v xml:space="preserve">FREEPORT  </v>
      </c>
      <c r="D13" s="910" t="str">
        <f>ListofPort!D13</f>
        <v>BAHAMAS</v>
      </c>
      <c r="E13" s="911">
        <f>ListofPort!E13</f>
        <v>46049</v>
      </c>
      <c r="F13" s="911">
        <f>ListofPort!F13</f>
        <v>46049</v>
      </c>
      <c r="G13" s="910">
        <f>ListofPort!G13</f>
        <v>1</v>
      </c>
      <c r="H13" s="910" t="str">
        <f>ListofPort!H13</f>
        <v>N/A</v>
      </c>
      <c r="I13" s="910" t="str">
        <f>ListofPort!I13</f>
        <v>No extra measures</v>
      </c>
      <c r="J13" s="910" t="str">
        <f>ListofPort!J13</f>
        <v>Crew Changes</v>
      </c>
      <c r="K13" s="910" t="str">
        <f>ListofPort!K13</f>
        <v>BSFPO</v>
      </c>
      <c r="L13" s="908"/>
    </row>
    <row r="14" spans="2:12" s="536" customFormat="1" ht="57" customHeight="1">
      <c r="B14" s="999" t="s">
        <v>868</v>
      </c>
      <c r="C14" s="910" t="str">
        <f>ListofPort!C14</f>
        <v xml:space="preserve">FREEPORT  </v>
      </c>
      <c r="D14" s="910" t="str">
        <f>ListofPort!D14</f>
        <v>BAHAMAS</v>
      </c>
      <c r="E14" s="911">
        <f>ListofPort!E14</f>
        <v>46035</v>
      </c>
      <c r="F14" s="911">
        <f>ListofPort!F14</f>
        <v>46035</v>
      </c>
      <c r="G14" s="910">
        <f>ListofPort!G14</f>
        <v>1</v>
      </c>
      <c r="H14" s="910" t="str">
        <f>ListofPort!H14</f>
        <v>N/A</v>
      </c>
      <c r="I14" s="910" t="str">
        <f>ListofPort!I14</f>
        <v>No extra measures</v>
      </c>
      <c r="J14" s="910" t="str">
        <f>ListofPort!J14</f>
        <v>Crew Changes</v>
      </c>
      <c r="K14" s="910" t="str">
        <f>ListofPort!K14</f>
        <v>BSFPO</v>
      </c>
      <c r="L14" s="908"/>
    </row>
    <row r="15" spans="2:12" s="536" customFormat="1" ht="57" customHeight="1">
      <c r="B15" s="999" t="s">
        <v>58</v>
      </c>
      <c r="C15" s="910" t="str">
        <f>ListofPort!C15</f>
        <v xml:space="preserve">ALTAMIRA </v>
      </c>
      <c r="D15" s="910" t="str">
        <f>ListofPort!D15</f>
        <v>MEXICO</v>
      </c>
      <c r="E15" s="911">
        <f>ListofPort!E15</f>
        <v>46024</v>
      </c>
      <c r="F15" s="911">
        <f>ListofPort!F15</f>
        <v>46031</v>
      </c>
      <c r="G15" s="910">
        <f>ListofPort!G15</f>
        <v>1</v>
      </c>
      <c r="H15" s="910">
        <f>ListofPort!H15</f>
        <v>1</v>
      </c>
      <c r="I15" s="910" t="str">
        <f>ListofPort!I15</f>
        <v>No extra measures</v>
      </c>
      <c r="J15" s="910" t="str">
        <f>ListofPort!J15</f>
        <v>Loading</v>
      </c>
      <c r="K15" s="910" t="str">
        <f>ListofPort!K15</f>
        <v>MXATM</v>
      </c>
      <c r="L15" s="908"/>
    </row>
    <row r="16" spans="2:12" s="536" customFormat="1" ht="57" customHeight="1">
      <c r="B16" s="999" t="s">
        <v>939</v>
      </c>
      <c r="C16" s="910" t="str">
        <f>ListofPort!C16</f>
        <v>ALGECIRAS</v>
      </c>
      <c r="D16" s="910" t="str">
        <f>ListofPort!D16</f>
        <v>SPAIN</v>
      </c>
      <c r="E16" s="911">
        <f>ListofPort!E16</f>
        <v>46010</v>
      </c>
      <c r="F16" s="911">
        <f>ListofPort!F16</f>
        <v>46010</v>
      </c>
      <c r="G16" s="910">
        <f>ListofPort!G16</f>
        <v>1</v>
      </c>
      <c r="H16" s="910" t="str">
        <f>ListofPort!H16</f>
        <v>N/A</v>
      </c>
      <c r="I16" s="910" t="str">
        <f>ListofPort!I16</f>
        <v>No extra measures</v>
      </c>
      <c r="J16" s="910" t="str">
        <f>ListofPort!J16</f>
        <v>Receiving stores</v>
      </c>
      <c r="K16" s="910" t="str">
        <f>ListofPort!K16</f>
        <v>ESALG</v>
      </c>
      <c r="L16" s="908"/>
    </row>
    <row r="17" spans="2:12" s="536" customFormat="1" ht="57" customHeight="1">
      <c r="B17" s="999" t="s">
        <v>940</v>
      </c>
      <c r="C17" s="910" t="str">
        <f>ListofPort!C17</f>
        <v>DAMIETTA</v>
      </c>
      <c r="D17" s="910" t="str">
        <f>ListofPort!D17</f>
        <v>EGYPT</v>
      </c>
      <c r="E17" s="911">
        <f>ListofPort!E17</f>
        <v>45998</v>
      </c>
      <c r="F17" s="911">
        <f>ListofPort!F17</f>
        <v>46005</v>
      </c>
      <c r="G17" s="910" t="str">
        <f>ListofPort!G17</f>
        <v>1</v>
      </c>
      <c r="H17" s="910" t="str">
        <f>ListofPort!H17</f>
        <v>1</v>
      </c>
      <c r="I17" s="910" t="str">
        <f>ListofPort!I17</f>
        <v>No extra measures</v>
      </c>
      <c r="J17" s="910" t="str">
        <f>ListofPort!J17</f>
        <v>Disharging,Crew Changes</v>
      </c>
      <c r="K17" s="910" t="str">
        <f>ListofPort!K17</f>
        <v>EGDAM</v>
      </c>
      <c r="L17" s="908"/>
    </row>
    <row r="18" spans="2:12" s="536" customFormat="1" ht="57" customHeight="1">
      <c r="B18" s="999" t="s">
        <v>129</v>
      </c>
      <c r="C18" s="910" t="str">
        <f>ListofPort!C18</f>
        <v xml:space="preserve">FREEPORT  </v>
      </c>
      <c r="D18" s="910" t="str">
        <f>ListofPort!D18</f>
        <v>BAHAMAS</v>
      </c>
      <c r="E18" s="911">
        <f>ListofPort!E18</f>
        <v>45984</v>
      </c>
      <c r="F18" s="911">
        <f>ListofPort!F18</f>
        <v>45984</v>
      </c>
      <c r="G18" s="910">
        <f>ListofPort!G18</f>
        <v>1</v>
      </c>
      <c r="H18" s="910" t="str">
        <f>ListofPort!H18</f>
        <v>N/A</v>
      </c>
      <c r="I18" s="910" t="str">
        <f>ListofPort!I18</f>
        <v>No extra measures</v>
      </c>
      <c r="J18" s="910" t="str">
        <f>ListofPort!J18</f>
        <v>Crew Changes</v>
      </c>
      <c r="K18" s="910" t="str">
        <f>ListofPort!K18</f>
        <v>BSFPO</v>
      </c>
      <c r="L18" s="908"/>
    </row>
    <row r="19" spans="2:12" s="536" customFormat="1" ht="57" customHeight="1">
      <c r="B19" s="999" t="s">
        <v>941</v>
      </c>
      <c r="C19" s="910" t="str">
        <f>ListofPort!C19</f>
        <v>SABINE PASS</v>
      </c>
      <c r="D19" s="910" t="str">
        <f>ListofPort!D19</f>
        <v>USA</v>
      </c>
      <c r="E19" s="911">
        <f>ListofPort!E19</f>
        <v>45980</v>
      </c>
      <c r="F19" s="911">
        <f>ListofPort!F19</f>
        <v>45981</v>
      </c>
      <c r="G19" s="910">
        <f>ListofPort!G19</f>
        <v>1</v>
      </c>
      <c r="H19" s="910" t="str">
        <f>ListofPort!H19</f>
        <v>1</v>
      </c>
      <c r="I19" s="910" t="str">
        <f>ListofPort!I19</f>
        <v>No extra measures</v>
      </c>
      <c r="J19" s="910" t="str">
        <f>ListofPort!J19</f>
        <v>Loading, Crew Changes, Receiving Provisions</v>
      </c>
      <c r="K19" s="910" t="str">
        <f>ListofPort!K19</f>
        <v>USNSS</v>
      </c>
      <c r="L19" s="908"/>
    </row>
    <row r="20" spans="2:12" s="536" customFormat="1" ht="57" hidden="1" customHeight="1">
      <c r="B20" s="999" t="s">
        <v>962</v>
      </c>
      <c r="C20" s="910" t="str">
        <f>ListofPort!C20</f>
        <v>MUKRAN</v>
      </c>
      <c r="D20" s="910" t="str">
        <f>ListofPort!D20</f>
        <v>GERMANY</v>
      </c>
      <c r="E20" s="911">
        <f>ListofPort!E20</f>
        <v>45954</v>
      </c>
      <c r="F20" s="911">
        <f>ListofPort!F20</f>
        <v>45957</v>
      </c>
      <c r="G20" s="910">
        <f>ListofPort!G20</f>
        <v>1</v>
      </c>
      <c r="H20" s="910" t="str">
        <f>ListofPort!H20</f>
        <v>1</v>
      </c>
      <c r="I20" s="910" t="str">
        <f>ListofPort!I20</f>
        <v>No extra measures</v>
      </c>
      <c r="J20" s="910" t="str">
        <f>ListofPort!J20</f>
        <v>Disharging,Crew Changes,Receiving Provisions, Sire Inspection</v>
      </c>
      <c r="K20" s="910" t="str">
        <f>ListofPort!K20</f>
        <v>DEMUK</v>
      </c>
      <c r="L20" s="908"/>
    </row>
    <row r="21" spans="2:12" s="536" customFormat="1" ht="57" hidden="1" customHeight="1">
      <c r="B21" s="999" t="s">
        <v>962</v>
      </c>
      <c r="C21" s="910" t="str">
        <f>ListofPort!C21</f>
        <v xml:space="preserve">ALTAMIRA </v>
      </c>
      <c r="D21" s="910" t="str">
        <f>ListofPort!D21</f>
        <v>MEXICO</v>
      </c>
      <c r="E21" s="911">
        <f>ListofPort!E21</f>
        <v>45922</v>
      </c>
      <c r="F21" s="911">
        <f>ListofPort!F21</f>
        <v>45927</v>
      </c>
      <c r="G21" s="910">
        <f>ListofPort!G21</f>
        <v>1</v>
      </c>
      <c r="H21" s="910">
        <f>ListofPort!H21</f>
        <v>1</v>
      </c>
      <c r="I21" s="910" t="str">
        <f>ListofPort!I21</f>
        <v>No extra measures</v>
      </c>
      <c r="J21" s="910" t="str">
        <f>ListofPort!J21</f>
        <v>Loading</v>
      </c>
      <c r="K21" s="910" t="str">
        <f>ListofPort!K21</f>
        <v>MXATM</v>
      </c>
      <c r="L21" s="908"/>
    </row>
    <row r="22" spans="2:12" s="331" customFormat="1" ht="30.75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6"/>
    </row>
    <row r="23" spans="2:12" s="332" customFormat="1" ht="36" hidden="1" customHeight="1">
      <c r="B23" s="334">
        <f>ListofPort!B28</f>
        <v>19</v>
      </c>
      <c r="C23" s="334" t="s">
        <v>393</v>
      </c>
      <c r="D23" s="334" t="s">
        <v>382</v>
      </c>
      <c r="E23" s="334" t="e">
        <f>ListofPort!#REF!</f>
        <v>#REF!</v>
      </c>
      <c r="F23" s="334" t="e">
        <f>ListofPort!#REF!</f>
        <v>#REF!</v>
      </c>
      <c r="G23" s="334" t="s">
        <v>394</v>
      </c>
      <c r="H23" s="334" t="s">
        <v>368</v>
      </c>
      <c r="I23" s="334" t="s">
        <v>369</v>
      </c>
      <c r="J23" s="334"/>
    </row>
    <row r="24" spans="2:12" s="332" customFormat="1" ht="31.5" hidden="1" customHeight="1">
      <c r="B24" s="334">
        <f>ListofPort!B29</f>
        <v>20</v>
      </c>
      <c r="C24" s="334" t="e">
        <f>ListofPort!#REF!</f>
        <v>#REF!</v>
      </c>
      <c r="D24" s="334" t="e">
        <f>ListofPort!#REF!</f>
        <v>#REF!</v>
      </c>
      <c r="E24" s="334" t="e">
        <f>ListofPort!#REF!</f>
        <v>#REF!</v>
      </c>
      <c r="F24" s="334" t="e">
        <f>ListofPort!#REF!</f>
        <v>#REF!</v>
      </c>
      <c r="G24" s="334" t="e">
        <f>ListofPort!#REF!</f>
        <v>#REF!</v>
      </c>
      <c r="H24" s="334" t="e">
        <f>ListofPort!#REF!</f>
        <v>#REF!</v>
      </c>
      <c r="I24" s="334" t="e">
        <f>ListofPort!#REF!</f>
        <v>#REF!</v>
      </c>
      <c r="J24" s="334"/>
    </row>
    <row r="25" spans="2:12" s="332" customFormat="1" ht="31.5" hidden="1" customHeight="1">
      <c r="B25" s="334">
        <f>ListofPort!B30</f>
        <v>21</v>
      </c>
      <c r="C25" s="334" t="e">
        <f>ListofPort!#REF!</f>
        <v>#REF!</v>
      </c>
      <c r="D25" s="334" t="e">
        <f>ListofPort!#REF!</f>
        <v>#REF!</v>
      </c>
      <c r="E25" s="334" t="e">
        <f>ListofPort!#REF!</f>
        <v>#REF!</v>
      </c>
      <c r="F25" s="334" t="e">
        <f>ListofPort!#REF!</f>
        <v>#REF!</v>
      </c>
      <c r="G25" s="334" t="e">
        <f>ListofPort!#REF!</f>
        <v>#REF!</v>
      </c>
      <c r="H25" s="334" t="e">
        <f>ListofPort!#REF!</f>
        <v>#REF!</v>
      </c>
      <c r="I25" s="334" t="e">
        <f>ListofPort!#REF!</f>
        <v>#REF!</v>
      </c>
      <c r="J25" s="334"/>
    </row>
    <row r="26" spans="2:12" s="332" customFormat="1" ht="31.5" hidden="1" customHeight="1">
      <c r="B26" s="334">
        <f>ListofPort!B31</f>
        <v>22</v>
      </c>
      <c r="C26" s="334" t="e">
        <f>ListofPort!#REF!</f>
        <v>#REF!</v>
      </c>
      <c r="D26" s="334" t="e">
        <f>ListofPort!#REF!</f>
        <v>#REF!</v>
      </c>
      <c r="E26" s="334" t="e">
        <f>ListofPort!#REF!</f>
        <v>#REF!</v>
      </c>
      <c r="F26" s="334" t="e">
        <f>ListofPort!#REF!</f>
        <v>#REF!</v>
      </c>
      <c r="G26" s="334" t="e">
        <f>ListofPort!#REF!</f>
        <v>#REF!</v>
      </c>
      <c r="H26" s="334" t="e">
        <f>ListofPort!#REF!</f>
        <v>#REF!</v>
      </c>
      <c r="I26" s="334" t="e">
        <f>ListofPort!#REF!</f>
        <v>#REF!</v>
      </c>
      <c r="J26" s="334"/>
    </row>
    <row r="27" spans="2:12" s="332" customFormat="1" ht="31.5" customHeight="1">
      <c r="B27" s="334"/>
      <c r="C27" s="334"/>
      <c r="D27" s="334"/>
      <c r="E27" s="334"/>
      <c r="F27" s="334"/>
      <c r="G27" s="334"/>
      <c r="H27" s="334"/>
      <c r="I27" s="334"/>
      <c r="J27" s="334"/>
    </row>
    <row r="28" spans="2:12" s="332" customFormat="1" ht="31.5" customHeight="1">
      <c r="B28" s="333"/>
      <c r="C28" s="334"/>
      <c r="D28" s="335"/>
      <c r="E28" s="336"/>
      <c r="F28" s="337"/>
      <c r="G28" s="338"/>
      <c r="H28" s="339" t="str">
        <f>M.Menu!S15</f>
        <v>CAPT. WENDT ROBERT</v>
      </c>
      <c r="I28" s="336"/>
    </row>
    <row r="29" spans="2:12" ht="31.5" customHeight="1">
      <c r="B29" s="333"/>
      <c r="C29" s="334"/>
      <c r="D29" s="335"/>
      <c r="E29" s="336"/>
      <c r="F29" s="337"/>
      <c r="G29" s="338"/>
      <c r="H29" s="340" t="s">
        <v>298</v>
      </c>
      <c r="I29" s="336"/>
    </row>
    <row r="30" spans="2:12" ht="31.5" customHeight="1">
      <c r="B30" s="333"/>
      <c r="C30" s="334"/>
      <c r="D30" s="335"/>
      <c r="E30" s="336"/>
      <c r="F30" s="337"/>
      <c r="G30" s="338"/>
      <c r="H30" s="336"/>
      <c r="I30" s="336"/>
    </row>
    <row r="31" spans="2:12" ht="31.5" customHeight="1">
      <c r="B31" s="333"/>
      <c r="C31" s="341"/>
      <c r="D31" s="335"/>
      <c r="E31" s="336"/>
      <c r="F31" s="337"/>
      <c r="G31" s="338"/>
      <c r="H31" s="336"/>
      <c r="I31" s="336"/>
    </row>
    <row r="32" spans="2:12" ht="31.5" customHeight="1">
      <c r="B32" s="333"/>
      <c r="C32" s="341"/>
      <c r="D32" s="342"/>
      <c r="E32" s="262"/>
      <c r="F32" s="337"/>
      <c r="G32" s="338"/>
      <c r="H32" s="336"/>
      <c r="I32" s="336"/>
    </row>
    <row r="33" spans="2:9" ht="31.5" customHeight="1">
      <c r="B33" s="333"/>
      <c r="C33" s="341"/>
      <c r="D33" s="342"/>
      <c r="E33" s="337"/>
      <c r="F33" s="337"/>
      <c r="G33" s="338"/>
      <c r="H33" s="336"/>
      <c r="I33" s="336"/>
    </row>
    <row r="34" spans="2:9" ht="31.5" customHeight="1">
      <c r="B34" s="333"/>
      <c r="C34" s="341"/>
      <c r="D34" s="342"/>
      <c r="E34" s="337"/>
      <c r="F34" s="337"/>
      <c r="G34" s="336"/>
      <c r="H34" s="336"/>
      <c r="I34" s="336"/>
    </row>
    <row r="35" spans="2:9" ht="31.5" customHeight="1">
      <c r="B35" s="333">
        <v>1</v>
      </c>
      <c r="C35" s="341"/>
      <c r="D35" s="342"/>
      <c r="E35" s="337"/>
      <c r="F35" s="337"/>
      <c r="G35" s="338"/>
      <c r="H35" s="336"/>
      <c r="I35" s="336"/>
    </row>
    <row r="36" spans="2:9" ht="31.5" customHeight="1">
      <c r="B36" s="333">
        <v>1</v>
      </c>
      <c r="C36" s="341"/>
      <c r="D36" s="342"/>
      <c r="E36" s="337"/>
      <c r="F36" s="337"/>
      <c r="G36" s="338"/>
      <c r="H36" s="336"/>
      <c r="I36" s="336"/>
    </row>
    <row r="37" spans="2:9" ht="31.5" customHeight="1">
      <c r="B37" s="333">
        <v>1</v>
      </c>
      <c r="C37" s="341"/>
      <c r="D37" s="335"/>
      <c r="E37" s="337"/>
      <c r="F37" s="337"/>
      <c r="G37" s="338"/>
      <c r="H37" s="336"/>
      <c r="I37" s="336"/>
    </row>
    <row r="38" spans="2:9" ht="31.5" customHeight="1">
      <c r="B38" s="333">
        <v>1</v>
      </c>
      <c r="C38" s="341"/>
      <c r="D38" s="342"/>
      <c r="E38" s="337"/>
      <c r="F38" s="337"/>
      <c r="G38" s="338"/>
      <c r="H38" s="336"/>
      <c r="I38" s="336"/>
    </row>
    <row r="39" spans="2:9" ht="31.5" customHeight="1">
      <c r="B39" s="333">
        <v>1</v>
      </c>
      <c r="C39" s="341"/>
      <c r="D39" s="342"/>
      <c r="E39" s="337"/>
      <c r="F39" s="337"/>
      <c r="G39" s="336"/>
      <c r="H39" s="336"/>
      <c r="I39" s="336"/>
    </row>
    <row r="40" spans="2:9" ht="31.5" customHeight="1">
      <c r="B40" s="333">
        <v>1</v>
      </c>
      <c r="C40" s="341"/>
      <c r="D40" s="342"/>
      <c r="E40" s="337"/>
      <c r="F40" s="337"/>
      <c r="G40" s="336"/>
      <c r="H40" s="336"/>
      <c r="I40" s="336"/>
    </row>
    <row r="41" spans="2:9" ht="31.5" customHeight="1">
      <c r="B41" s="333">
        <v>1</v>
      </c>
      <c r="C41" s="341"/>
      <c r="D41" s="342"/>
      <c r="E41" s="337"/>
      <c r="F41" s="337"/>
      <c r="G41" s="338"/>
      <c r="H41" s="336"/>
      <c r="I41" s="336"/>
    </row>
    <row r="42" spans="2:9" ht="31.5" customHeight="1">
      <c r="B42" s="333">
        <v>1</v>
      </c>
      <c r="C42" s="341"/>
      <c r="D42" s="342"/>
      <c r="E42" s="337"/>
      <c r="F42" s="337"/>
      <c r="G42" s="338"/>
      <c r="H42" s="336"/>
      <c r="I42" s="336"/>
    </row>
    <row r="43" spans="2:9" ht="31.5" customHeight="1">
      <c r="B43" s="333">
        <v>1</v>
      </c>
      <c r="C43" s="341"/>
      <c r="D43" s="342"/>
      <c r="E43" s="337"/>
      <c r="F43" s="337"/>
      <c r="G43" s="336"/>
      <c r="H43" s="336"/>
      <c r="I43" s="336"/>
    </row>
    <row r="44" spans="2:9" ht="31.5" customHeight="1">
      <c r="B44" s="333">
        <v>1</v>
      </c>
      <c r="C44" s="341"/>
      <c r="D44" s="342"/>
      <c r="E44" s="337"/>
      <c r="F44" s="337"/>
      <c r="G44" s="336"/>
      <c r="H44" s="336"/>
      <c r="I44" s="336"/>
    </row>
    <row r="45" spans="2:9" ht="31.5" customHeight="1">
      <c r="B45" s="333">
        <v>1</v>
      </c>
      <c r="C45" s="334"/>
      <c r="D45" s="342"/>
      <c r="E45" s="337"/>
      <c r="F45" s="337"/>
      <c r="G45" s="336"/>
      <c r="H45" s="336"/>
      <c r="I45" s="336"/>
    </row>
    <row r="46" spans="2:9" ht="31.5" customHeight="1">
      <c r="B46" s="333">
        <v>1</v>
      </c>
      <c r="C46" s="334"/>
      <c r="D46" s="343"/>
      <c r="E46" s="344"/>
      <c r="F46" s="344"/>
      <c r="G46" s="345"/>
      <c r="H46" s="346"/>
      <c r="I46" s="336"/>
    </row>
    <row r="47" spans="2:9" ht="31.5" customHeight="1">
      <c r="B47" s="333">
        <v>1</v>
      </c>
      <c r="C47" s="334"/>
      <c r="D47" s="343"/>
      <c r="E47" s="344"/>
      <c r="F47" s="344"/>
      <c r="G47" s="345"/>
      <c r="H47" s="346"/>
      <c r="I47" s="346"/>
    </row>
    <row r="48" spans="2:9" ht="31.5" customHeight="1">
      <c r="B48" s="333">
        <v>1</v>
      </c>
      <c r="C48" s="334"/>
      <c r="D48" s="343"/>
      <c r="E48" s="344"/>
      <c r="F48" s="344"/>
      <c r="G48" s="345"/>
      <c r="H48" s="346"/>
      <c r="I48" s="346"/>
    </row>
    <row r="49" spans="2:9" ht="31.5" customHeight="1">
      <c r="B49" s="333">
        <v>1</v>
      </c>
      <c r="C49" s="334"/>
      <c r="D49" s="343"/>
      <c r="E49" s="344"/>
      <c r="F49" s="344"/>
      <c r="G49" s="345"/>
      <c r="H49" s="346"/>
      <c r="I49" s="346"/>
    </row>
    <row r="50" spans="2:9" ht="31.5" customHeight="1">
      <c r="B50" s="333">
        <v>1</v>
      </c>
      <c r="C50" s="334"/>
      <c r="D50" s="343"/>
      <c r="E50" s="344"/>
      <c r="F50" s="344"/>
      <c r="G50" s="345"/>
      <c r="H50" s="346"/>
      <c r="I50" s="346"/>
    </row>
    <row r="51" spans="2:9" ht="31.5" customHeight="1">
      <c r="B51" s="333">
        <v>1</v>
      </c>
      <c r="C51" s="334"/>
      <c r="D51" s="343"/>
      <c r="E51" s="344"/>
      <c r="F51" s="344"/>
      <c r="G51" s="345"/>
      <c r="H51" s="346"/>
      <c r="I51" s="346"/>
    </row>
    <row r="52" spans="2:9" ht="31.5" customHeight="1">
      <c r="B52" s="333">
        <v>1</v>
      </c>
      <c r="C52" s="334"/>
      <c r="D52" s="343"/>
      <c r="E52" s="344"/>
      <c r="F52" s="344"/>
      <c r="G52" s="345"/>
      <c r="H52" s="346"/>
      <c r="I52" s="346"/>
    </row>
    <row r="53" spans="2:9" ht="31.5" customHeight="1">
      <c r="B53" s="333">
        <v>1</v>
      </c>
      <c r="C53" s="334"/>
      <c r="D53" s="343"/>
      <c r="E53" s="344"/>
      <c r="F53" s="344"/>
      <c r="G53" s="345"/>
      <c r="H53" s="346"/>
      <c r="I53" s="346"/>
    </row>
    <row r="54" spans="2:9" ht="31.5" customHeight="1">
      <c r="B54" s="333">
        <v>1</v>
      </c>
      <c r="C54" s="334"/>
      <c r="D54" s="343"/>
      <c r="E54" s="344"/>
      <c r="F54" s="344"/>
      <c r="G54" s="345"/>
      <c r="H54" s="346"/>
      <c r="I54" s="346"/>
    </row>
    <row r="55" spans="2:9" ht="31.5" customHeight="1">
      <c r="B55" s="333">
        <v>1</v>
      </c>
      <c r="C55" s="334"/>
      <c r="D55" s="343"/>
      <c r="E55" s="344"/>
      <c r="F55" s="344"/>
      <c r="G55" s="345"/>
      <c r="H55" s="346"/>
      <c r="I55" s="346"/>
    </row>
    <row r="56" spans="2:9" ht="31.5" customHeight="1">
      <c r="B56" s="333">
        <v>1</v>
      </c>
      <c r="C56" s="334"/>
      <c r="D56" s="343"/>
      <c r="E56" s="344"/>
      <c r="F56" s="344"/>
      <c r="G56" s="345"/>
      <c r="H56" s="346"/>
      <c r="I56" s="346"/>
    </row>
    <row r="57" spans="2:9" ht="31.5" customHeight="1">
      <c r="B57" s="333">
        <v>1</v>
      </c>
      <c r="C57" s="334"/>
      <c r="D57" s="343"/>
      <c r="E57" s="344"/>
      <c r="F57" s="344"/>
      <c r="G57" s="345"/>
      <c r="H57" s="346"/>
      <c r="I57" s="346"/>
    </row>
    <row r="58" spans="2:9" ht="31.5" customHeight="1">
      <c r="B58" s="333">
        <v>1</v>
      </c>
      <c r="C58" s="334"/>
      <c r="D58" s="343"/>
      <c r="E58" s="344"/>
      <c r="F58" s="344"/>
      <c r="G58" s="345"/>
      <c r="H58" s="346"/>
      <c r="I58" s="346"/>
    </row>
    <row r="59" spans="2:9" ht="31.5" customHeight="1">
      <c r="B59" s="333">
        <v>1</v>
      </c>
      <c r="C59" s="334"/>
      <c r="D59" s="343"/>
      <c r="E59" s="344"/>
      <c r="F59" s="344"/>
      <c r="G59" s="345"/>
      <c r="H59" s="346"/>
      <c r="I59" s="346"/>
    </row>
    <row r="60" spans="2:9" ht="31.5" customHeight="1">
      <c r="B60" s="333">
        <v>1</v>
      </c>
      <c r="C60" s="334"/>
      <c r="D60" s="343"/>
      <c r="E60" s="344"/>
      <c r="F60" s="344"/>
      <c r="G60" s="345"/>
      <c r="H60" s="346"/>
      <c r="I60" s="346"/>
    </row>
    <row r="61" spans="2:9" ht="31.5" customHeight="1">
      <c r="B61" s="333">
        <v>1</v>
      </c>
      <c r="C61" s="334"/>
      <c r="D61" s="343"/>
      <c r="E61" s="344"/>
      <c r="F61" s="344"/>
      <c r="G61" s="345"/>
      <c r="H61" s="346"/>
      <c r="I61" s="346"/>
    </row>
    <row r="62" spans="2:9" ht="31.5" customHeight="1">
      <c r="B62" s="333">
        <v>1</v>
      </c>
      <c r="C62" s="334"/>
      <c r="D62" s="343"/>
      <c r="E62" s="344"/>
      <c r="F62" s="344"/>
      <c r="G62" s="345"/>
      <c r="H62" s="346"/>
      <c r="I62" s="346"/>
    </row>
    <row r="63" spans="2:9" ht="31.5" customHeight="1">
      <c r="B63" s="347">
        <v>54</v>
      </c>
      <c r="C63" s="334"/>
      <c r="D63" s="343"/>
      <c r="E63" s="344"/>
      <c r="F63" s="344"/>
      <c r="G63" s="345"/>
      <c r="H63" s="346"/>
      <c r="I63" s="346"/>
    </row>
    <row r="64" spans="2:9" ht="31.5" customHeight="1">
      <c r="B64" s="347">
        <v>55</v>
      </c>
      <c r="C64" s="334"/>
      <c r="D64" s="343"/>
      <c r="E64" s="344"/>
      <c r="F64" s="344"/>
      <c r="G64" s="345"/>
      <c r="H64" s="346"/>
      <c r="I64" s="346"/>
    </row>
    <row r="65" spans="2:9" ht="31.5" customHeight="1">
      <c r="B65" s="347">
        <v>56</v>
      </c>
      <c r="C65" s="334"/>
      <c r="D65" s="343"/>
      <c r="E65" s="344"/>
      <c r="F65" s="344"/>
      <c r="G65" s="345"/>
      <c r="H65" s="346"/>
      <c r="I65" s="346"/>
    </row>
    <row r="66" spans="2:9" ht="31.5" customHeight="1">
      <c r="B66" s="347">
        <v>57</v>
      </c>
      <c r="C66" s="334"/>
      <c r="D66" s="343"/>
      <c r="E66" s="344"/>
      <c r="F66" s="344"/>
      <c r="G66" s="345"/>
      <c r="H66" s="346"/>
      <c r="I66" s="346"/>
    </row>
    <row r="67" spans="2:9" ht="31.5" customHeight="1">
      <c r="B67" s="347">
        <v>58</v>
      </c>
      <c r="C67" s="334"/>
      <c r="D67" s="343"/>
      <c r="E67" s="344"/>
      <c r="F67" s="344"/>
      <c r="G67" s="345"/>
      <c r="H67" s="346"/>
      <c r="I67" s="346"/>
    </row>
    <row r="68" spans="2:9" ht="31.5" customHeight="1">
      <c r="B68" s="347">
        <v>59</v>
      </c>
      <c r="C68" s="334"/>
      <c r="D68" s="343"/>
      <c r="E68" s="344"/>
      <c r="F68" s="344"/>
      <c r="G68" s="345"/>
      <c r="H68" s="346"/>
      <c r="I68" s="346"/>
    </row>
    <row r="69" spans="2:9" ht="31.5" customHeight="1">
      <c r="B69" s="347">
        <v>60</v>
      </c>
      <c r="C69" s="334"/>
      <c r="D69" s="343"/>
      <c r="E69" s="344"/>
      <c r="F69" s="344"/>
      <c r="G69" s="345"/>
      <c r="H69" s="346"/>
      <c r="I69" s="346"/>
    </row>
    <row r="70" spans="2:9" ht="31.5" customHeight="1">
      <c r="B70" s="347">
        <v>61</v>
      </c>
      <c r="C70" s="334"/>
      <c r="D70" s="343"/>
      <c r="E70" s="344"/>
      <c r="F70" s="344"/>
      <c r="G70" s="345"/>
      <c r="H70" s="346"/>
      <c r="I70" s="346"/>
    </row>
    <row r="71" spans="2:9" ht="31.5" customHeight="1">
      <c r="B71" s="347">
        <v>62</v>
      </c>
      <c r="C71" s="334"/>
      <c r="D71" s="343"/>
      <c r="E71" s="344"/>
      <c r="F71" s="348"/>
      <c r="G71" s="345"/>
      <c r="H71" s="346"/>
      <c r="I71" s="346"/>
    </row>
    <row r="72" spans="2:9" ht="31.5" customHeight="1">
      <c r="B72" s="347">
        <v>63</v>
      </c>
      <c r="C72" s="334"/>
      <c r="D72" s="343"/>
      <c r="E72" s="344"/>
      <c r="F72" s="348"/>
      <c r="G72" s="345"/>
      <c r="H72" s="346"/>
      <c r="I72" s="346"/>
    </row>
    <row r="73" spans="2:9" ht="31.5" customHeight="1">
      <c r="B73" s="347">
        <v>64</v>
      </c>
      <c r="C73" s="334"/>
      <c r="D73" s="343"/>
      <c r="E73" s="344"/>
      <c r="F73" s="348"/>
      <c r="G73" s="345"/>
      <c r="H73" s="346"/>
      <c r="I73" s="346"/>
    </row>
    <row r="74" spans="2:9" ht="31.5" customHeight="1">
      <c r="B74" s="347">
        <v>65</v>
      </c>
      <c r="C74" s="334"/>
      <c r="D74" s="343"/>
      <c r="E74" s="344"/>
      <c r="F74" s="348"/>
      <c r="G74" s="345"/>
      <c r="H74" s="346"/>
      <c r="I74" s="346"/>
    </row>
    <row r="75" spans="2:9" ht="31.5" customHeight="1">
      <c r="B75" s="347">
        <v>66</v>
      </c>
      <c r="C75" s="334"/>
      <c r="D75" s="343"/>
      <c r="E75" s="344"/>
      <c r="F75" s="344"/>
      <c r="G75" s="345"/>
      <c r="H75" s="346"/>
      <c r="I75" s="346"/>
    </row>
    <row r="76" spans="2:9" ht="31.5" customHeight="1">
      <c r="B76" s="347">
        <v>67</v>
      </c>
      <c r="C76" s="334"/>
      <c r="D76" s="343"/>
      <c r="E76" s="344"/>
      <c r="F76" s="344"/>
      <c r="G76" s="345"/>
      <c r="H76" s="346"/>
      <c r="I76" s="346"/>
    </row>
    <row r="77" spans="2:9" ht="31.5" customHeight="1">
      <c r="B77" s="347">
        <v>68</v>
      </c>
      <c r="C77" s="334"/>
      <c r="D77" s="343"/>
      <c r="E77" s="344"/>
      <c r="F77" s="344"/>
      <c r="G77" s="345"/>
      <c r="H77" s="346"/>
      <c r="I77" s="346"/>
    </row>
    <row r="78" spans="2:9" ht="31.5" customHeight="1">
      <c r="B78" s="347">
        <v>69</v>
      </c>
      <c r="C78" s="334"/>
      <c r="D78" s="343"/>
      <c r="E78" s="344"/>
      <c r="F78" s="344"/>
      <c r="G78" s="345"/>
      <c r="H78" s="346"/>
      <c r="I78" s="346"/>
    </row>
    <row r="79" spans="2:9" ht="31.5" customHeight="1">
      <c r="B79" s="347">
        <v>70</v>
      </c>
      <c r="C79" s="334"/>
      <c r="D79" s="343"/>
      <c r="E79" s="344"/>
      <c r="F79" s="344"/>
      <c r="G79" s="345"/>
      <c r="H79" s="346"/>
      <c r="I79" s="346"/>
    </row>
    <row r="80" spans="2:9" ht="31.5" customHeight="1">
      <c r="B80" s="347">
        <v>71</v>
      </c>
      <c r="C80" s="334"/>
      <c r="D80" s="343"/>
      <c r="E80" s="344"/>
      <c r="F80" s="344"/>
      <c r="G80" s="345"/>
      <c r="H80" s="346"/>
      <c r="I80" s="346"/>
    </row>
    <row r="81" spans="2:9" ht="31.5" customHeight="1">
      <c r="B81" s="347">
        <v>72</v>
      </c>
      <c r="C81" s="334"/>
      <c r="D81" s="343"/>
      <c r="E81" s="344"/>
      <c r="F81" s="344"/>
      <c r="G81" s="345"/>
      <c r="H81" s="346"/>
      <c r="I81" s="346"/>
    </row>
    <row r="82" spans="2:9" ht="31.5" customHeight="1">
      <c r="B82" s="347">
        <v>73</v>
      </c>
      <c r="C82" s="334"/>
      <c r="D82" s="343"/>
      <c r="E82" s="344"/>
      <c r="F82" s="344"/>
      <c r="G82" s="345"/>
      <c r="H82" s="346"/>
      <c r="I82" s="346"/>
    </row>
    <row r="83" spans="2:9" ht="31.5" customHeight="1">
      <c r="B83" s="347">
        <v>74</v>
      </c>
      <c r="C83" s="334"/>
      <c r="D83" s="343"/>
      <c r="E83" s="344"/>
      <c r="F83" s="344"/>
      <c r="G83" s="345"/>
      <c r="H83" s="346"/>
      <c r="I83" s="346"/>
    </row>
    <row r="84" spans="2:9" ht="31.5" customHeight="1">
      <c r="B84" s="347">
        <v>75</v>
      </c>
      <c r="C84" s="334"/>
      <c r="D84" s="343"/>
      <c r="E84" s="344"/>
      <c r="F84" s="344"/>
      <c r="G84" s="345"/>
      <c r="H84" s="346"/>
      <c r="I84" s="346"/>
    </row>
    <row r="85" spans="2:9" ht="31.5" customHeight="1">
      <c r="B85" s="347">
        <v>76</v>
      </c>
      <c r="C85" s="334"/>
      <c r="D85" s="343"/>
      <c r="E85" s="344"/>
      <c r="F85" s="344"/>
      <c r="G85" s="345"/>
      <c r="H85" s="346"/>
      <c r="I85" s="346"/>
    </row>
    <row r="86" spans="2:9" ht="31.5" customHeight="1">
      <c r="B86" s="347">
        <v>77</v>
      </c>
      <c r="C86" s="334"/>
      <c r="D86" s="343"/>
      <c r="E86" s="344"/>
      <c r="F86" s="344"/>
      <c r="G86" s="345"/>
      <c r="H86" s="346"/>
      <c r="I86" s="346"/>
    </row>
    <row r="87" spans="2:9" ht="31.5" customHeight="1">
      <c r="B87" s="347">
        <v>78</v>
      </c>
      <c r="D87" s="343"/>
      <c r="E87" s="344"/>
      <c r="F87" s="344"/>
      <c r="G87" s="345"/>
      <c r="H87" s="346"/>
      <c r="I87" s="346"/>
    </row>
    <row r="88" spans="2:9" ht="31.5" customHeight="1">
      <c r="B88" s="347">
        <v>79</v>
      </c>
      <c r="D88" s="343"/>
      <c r="E88" s="344"/>
      <c r="F88" s="344"/>
      <c r="G88" s="345"/>
      <c r="H88" s="346"/>
      <c r="I88" s="346"/>
    </row>
    <row r="89" spans="2:9" ht="31.5" customHeight="1">
      <c r="B89" s="347">
        <v>80</v>
      </c>
      <c r="D89" s="343"/>
      <c r="E89" s="344"/>
      <c r="F89" s="344"/>
      <c r="G89" s="345"/>
      <c r="H89" s="346"/>
      <c r="I89" s="346"/>
    </row>
    <row r="90" spans="2:9" ht="31.5" customHeight="1">
      <c r="B90" s="347">
        <v>81</v>
      </c>
      <c r="D90" s="343"/>
      <c r="E90" s="344"/>
      <c r="F90" s="344"/>
      <c r="G90" s="345"/>
      <c r="H90" s="346"/>
      <c r="I90" s="346"/>
    </row>
    <row r="91" spans="2:9" ht="31.5" customHeight="1">
      <c r="B91" s="347">
        <v>82</v>
      </c>
      <c r="D91" s="343"/>
      <c r="E91" s="344"/>
      <c r="F91" s="344"/>
      <c r="G91" s="345"/>
      <c r="H91" s="346"/>
      <c r="I91" s="346"/>
    </row>
    <row r="92" spans="2:9" ht="31.5" customHeight="1">
      <c r="B92" s="347">
        <v>83</v>
      </c>
      <c r="D92" s="343"/>
      <c r="E92" s="344"/>
      <c r="F92" s="344"/>
      <c r="G92" s="345"/>
      <c r="H92" s="346"/>
      <c r="I92" s="346"/>
    </row>
    <row r="93" spans="2:9" ht="31.5" customHeight="1">
      <c r="B93" s="347">
        <v>84</v>
      </c>
      <c r="D93" s="343"/>
      <c r="E93" s="344"/>
      <c r="F93" s="344"/>
      <c r="G93" s="345"/>
      <c r="H93" s="346"/>
      <c r="I93" s="346"/>
    </row>
    <row r="94" spans="2:9" ht="31.5" customHeight="1">
      <c r="B94" s="347">
        <v>85</v>
      </c>
      <c r="D94" s="343"/>
      <c r="E94" s="344"/>
      <c r="F94" s="344"/>
      <c r="G94" s="345"/>
      <c r="H94" s="346"/>
      <c r="I94" s="346"/>
    </row>
    <row r="95" spans="2:9" ht="31.5" customHeight="1">
      <c r="B95" s="347">
        <v>86</v>
      </c>
      <c r="D95" s="343"/>
      <c r="E95" s="344"/>
      <c r="F95" s="344"/>
      <c r="G95" s="345"/>
      <c r="H95" s="346"/>
      <c r="I95" s="346"/>
    </row>
    <row r="96" spans="2:9" ht="31.5" customHeight="1">
      <c r="B96" s="349">
        <v>87</v>
      </c>
      <c r="C96" s="350"/>
      <c r="D96" s="351"/>
      <c r="E96" s="352"/>
      <c r="F96" s="352"/>
      <c r="G96" s="353"/>
      <c r="H96" s="354"/>
      <c r="I96" s="354"/>
    </row>
    <row r="97" spans="2:9" ht="31.5" customHeight="1">
      <c r="B97" s="355">
        <v>88</v>
      </c>
      <c r="C97" s="356"/>
      <c r="D97" s="357"/>
      <c r="E97" s="358"/>
      <c r="F97" s="358"/>
      <c r="G97" s="359"/>
      <c r="H97" s="360"/>
      <c r="I97" s="360"/>
    </row>
    <row r="98" spans="2:9" ht="31.5" customHeight="1">
      <c r="B98" s="355">
        <v>89</v>
      </c>
      <c r="C98" s="356"/>
      <c r="D98" s="357"/>
      <c r="E98" s="358"/>
      <c r="F98" s="358"/>
      <c r="G98" s="359"/>
      <c r="H98" s="360"/>
      <c r="I98" s="360"/>
    </row>
    <row r="99" spans="2:9" ht="31.5" customHeight="1">
      <c r="B99" s="355">
        <v>90</v>
      </c>
      <c r="C99" s="356"/>
      <c r="D99" s="357"/>
      <c r="E99" s="358"/>
      <c r="F99" s="358"/>
      <c r="G99" s="359"/>
      <c r="H99" s="360"/>
      <c r="I99" s="360"/>
    </row>
    <row r="100" spans="2:9" ht="31.5" customHeight="1">
      <c r="B100" s="361">
        <v>91</v>
      </c>
      <c r="C100" s="356"/>
      <c r="D100" s="357"/>
      <c r="E100" s="358"/>
      <c r="F100" s="358"/>
      <c r="G100" s="359"/>
      <c r="H100" s="360"/>
      <c r="I100" s="360"/>
    </row>
    <row r="101" spans="2:9" ht="31.5" customHeight="1">
      <c r="B101" s="361">
        <v>92</v>
      </c>
      <c r="C101" s="356"/>
      <c r="D101" s="357"/>
      <c r="E101" s="358"/>
      <c r="F101" s="358"/>
      <c r="G101" s="359"/>
      <c r="H101" s="360"/>
      <c r="I101" s="360"/>
    </row>
    <row r="102" spans="2:9" ht="31.5" customHeight="1">
      <c r="B102" s="361">
        <v>93</v>
      </c>
      <c r="C102" s="356"/>
      <c r="D102" s="357"/>
      <c r="E102" s="358"/>
      <c r="F102" s="358"/>
      <c r="G102" s="359"/>
      <c r="H102" s="360"/>
      <c r="I102" s="360"/>
    </row>
    <row r="103" spans="2:9" ht="31.5" customHeight="1">
      <c r="B103" s="361">
        <v>94</v>
      </c>
      <c r="C103" s="356"/>
      <c r="D103" s="357"/>
      <c r="E103" s="358"/>
      <c r="F103" s="358"/>
      <c r="G103" s="359"/>
      <c r="H103" s="360"/>
      <c r="I103" s="360"/>
    </row>
    <row r="104" spans="2:9" ht="31.5" customHeight="1">
      <c r="B104" s="361">
        <v>95</v>
      </c>
      <c r="C104" s="356"/>
      <c r="D104" s="357"/>
      <c r="E104" s="358"/>
      <c r="F104" s="358"/>
      <c r="G104" s="359"/>
      <c r="H104" s="360"/>
      <c r="I104" s="360"/>
    </row>
    <row r="105" spans="2:9" ht="31.5" customHeight="1">
      <c r="B105" s="361">
        <v>96</v>
      </c>
      <c r="C105" s="356"/>
      <c r="D105" s="357"/>
      <c r="E105" s="358"/>
      <c r="F105" s="358"/>
      <c r="G105" s="359"/>
      <c r="H105" s="360"/>
      <c r="I105" s="360"/>
    </row>
    <row r="106" spans="2:9" ht="31.5" customHeight="1">
      <c r="B106" s="361">
        <v>97</v>
      </c>
      <c r="C106" s="356"/>
      <c r="D106" s="357"/>
      <c r="E106" s="358"/>
      <c r="F106" s="358"/>
      <c r="G106" s="359"/>
      <c r="H106" s="360"/>
      <c r="I106" s="360"/>
    </row>
    <row r="107" spans="2:9" ht="31.5" customHeight="1">
      <c r="B107" s="361">
        <v>98</v>
      </c>
      <c r="C107" s="356"/>
      <c r="D107" s="357"/>
      <c r="E107" s="358"/>
      <c r="F107" s="358"/>
      <c r="G107" s="359"/>
      <c r="H107" s="360"/>
      <c r="I107" s="360"/>
    </row>
    <row r="108" spans="2:9" ht="31.5" customHeight="1">
      <c r="B108" s="361">
        <v>99</v>
      </c>
      <c r="C108" s="356"/>
      <c r="D108" s="357"/>
      <c r="E108" s="358"/>
      <c r="F108" s="358"/>
      <c r="G108" s="359"/>
      <c r="H108" s="360"/>
      <c r="I108" s="360"/>
    </row>
    <row r="109" spans="2:9" ht="31.5" customHeight="1">
      <c r="B109" s="361">
        <v>100</v>
      </c>
      <c r="C109" s="356"/>
      <c r="D109" s="357"/>
      <c r="E109" s="358"/>
      <c r="F109" s="358"/>
      <c r="G109" s="359"/>
      <c r="H109" s="360"/>
      <c r="I109" s="360"/>
    </row>
    <row r="110" spans="2:9" ht="31.5" customHeight="1">
      <c r="B110" s="361">
        <v>101</v>
      </c>
      <c r="C110" s="356"/>
      <c r="D110" s="357"/>
      <c r="E110" s="358"/>
      <c r="F110" s="358"/>
      <c r="G110" s="359"/>
      <c r="H110" s="360"/>
      <c r="I110" s="360"/>
    </row>
    <row r="111" spans="2:9" ht="31.5" customHeight="1">
      <c r="B111" s="361">
        <v>102</v>
      </c>
      <c r="C111" s="356"/>
      <c r="D111" s="357"/>
      <c r="E111" s="358"/>
      <c r="F111" s="358"/>
      <c r="G111" s="359"/>
      <c r="H111" s="360"/>
      <c r="I111" s="360"/>
    </row>
    <row r="112" spans="2:9" ht="31.5" customHeight="1">
      <c r="B112" s="361">
        <v>103</v>
      </c>
      <c r="C112" s="356"/>
      <c r="D112" s="357"/>
      <c r="E112" s="358"/>
      <c r="F112" s="358"/>
      <c r="G112" s="359"/>
      <c r="H112" s="360"/>
      <c r="I112" s="360"/>
    </row>
    <row r="113" spans="2:9" ht="31.5" customHeight="1">
      <c r="B113" s="361">
        <v>104</v>
      </c>
      <c r="C113" s="356"/>
      <c r="D113" s="357"/>
      <c r="E113" s="358"/>
      <c r="F113" s="358"/>
      <c r="G113" s="359"/>
      <c r="H113" s="360"/>
      <c r="I113" s="360"/>
    </row>
    <row r="114" spans="2:9" ht="31.5" customHeight="1">
      <c r="B114" s="361">
        <v>105</v>
      </c>
      <c r="C114" s="356"/>
      <c r="D114" s="357"/>
      <c r="E114" s="358"/>
      <c r="F114" s="358"/>
      <c r="G114" s="359"/>
      <c r="H114" s="360"/>
      <c r="I114" s="360"/>
    </row>
    <row r="115" spans="2:9" ht="31.5" customHeight="1">
      <c r="B115" s="361">
        <v>106</v>
      </c>
      <c r="C115" s="356"/>
      <c r="D115" s="357"/>
      <c r="E115" s="358"/>
      <c r="F115" s="358"/>
      <c r="G115" s="359"/>
      <c r="H115" s="360"/>
      <c r="I115" s="360"/>
    </row>
    <row r="116" spans="2:9" ht="31.5" customHeight="1">
      <c r="B116" s="361">
        <v>107</v>
      </c>
      <c r="C116" s="356"/>
      <c r="D116" s="357"/>
      <c r="E116" s="358"/>
      <c r="F116" s="358"/>
      <c r="G116" s="359"/>
      <c r="H116" s="360"/>
      <c r="I116" s="360"/>
    </row>
    <row r="117" spans="2:9" ht="31.5" customHeight="1">
      <c r="B117" s="361">
        <v>108</v>
      </c>
      <c r="C117" s="356"/>
      <c r="D117" s="357"/>
      <c r="E117" s="358"/>
      <c r="F117" s="358"/>
      <c r="G117" s="359"/>
      <c r="H117" s="360"/>
      <c r="I117" s="360"/>
    </row>
    <row r="118" spans="2:9" ht="31.5" customHeight="1">
      <c r="B118" s="361">
        <v>109</v>
      </c>
      <c r="C118" s="356"/>
      <c r="D118" s="357"/>
      <c r="E118" s="358"/>
      <c r="F118" s="358"/>
      <c r="G118" s="359"/>
      <c r="H118" s="360"/>
      <c r="I118" s="360"/>
    </row>
    <row r="119" spans="2:9" ht="31.5" customHeight="1">
      <c r="B119" s="361">
        <v>110</v>
      </c>
      <c r="C119" s="356"/>
      <c r="D119" s="357"/>
      <c r="E119" s="358"/>
      <c r="F119" s="358"/>
      <c r="G119" s="359"/>
      <c r="H119" s="360"/>
      <c r="I119" s="360"/>
    </row>
    <row r="120" spans="2:9" ht="31.5" customHeight="1">
      <c r="B120" s="361">
        <v>111</v>
      </c>
      <c r="C120" s="356"/>
      <c r="D120" s="357"/>
      <c r="E120" s="358"/>
      <c r="F120" s="358"/>
      <c r="G120" s="359"/>
      <c r="H120" s="360"/>
      <c r="I120" s="360"/>
    </row>
    <row r="121" spans="2:9" ht="31.5" customHeight="1">
      <c r="B121" s="361">
        <v>112</v>
      </c>
      <c r="C121" s="356"/>
      <c r="D121" s="357"/>
      <c r="E121" s="358"/>
      <c r="F121" s="358"/>
      <c r="G121" s="359"/>
      <c r="H121" s="360"/>
      <c r="I121" s="360"/>
    </row>
    <row r="122" spans="2:9" ht="31.5" customHeight="1">
      <c r="B122" s="361">
        <v>113</v>
      </c>
      <c r="C122" s="356"/>
      <c r="D122" s="357"/>
      <c r="E122" s="358"/>
      <c r="F122" s="358"/>
      <c r="G122" s="359"/>
      <c r="H122" s="360"/>
      <c r="I122" s="360"/>
    </row>
    <row r="123" spans="2:9" ht="31.5" customHeight="1">
      <c r="B123" s="361">
        <v>114</v>
      </c>
      <c r="C123" s="356"/>
      <c r="D123" s="357"/>
      <c r="E123" s="358"/>
      <c r="F123" s="358"/>
      <c r="G123" s="359"/>
      <c r="H123" s="360"/>
      <c r="I123" s="360"/>
    </row>
    <row r="124" spans="2:9" ht="31.5" customHeight="1">
      <c r="B124" s="361">
        <v>115</v>
      </c>
      <c r="C124" s="356"/>
      <c r="D124" s="357"/>
      <c r="E124" s="358"/>
      <c r="F124" s="358"/>
      <c r="G124" s="359"/>
      <c r="H124" s="360"/>
      <c r="I124" s="360"/>
    </row>
    <row r="125" spans="2:9" ht="31.5" customHeight="1">
      <c r="B125" s="361">
        <v>116</v>
      </c>
      <c r="C125" s="356"/>
      <c r="D125" s="357"/>
      <c r="E125" s="358"/>
      <c r="F125" s="358"/>
      <c r="G125" s="359"/>
      <c r="H125" s="360"/>
      <c r="I125" s="360"/>
    </row>
    <row r="126" spans="2:9" ht="31.5" customHeight="1">
      <c r="B126" s="361">
        <v>117</v>
      </c>
      <c r="C126" s="356"/>
      <c r="D126" s="357"/>
      <c r="E126" s="358"/>
      <c r="F126" s="358"/>
      <c r="G126" s="359"/>
      <c r="H126" s="360"/>
      <c r="I126" s="360"/>
    </row>
    <row r="127" spans="2:9" ht="31.5" customHeight="1">
      <c r="B127" s="361">
        <v>118</v>
      </c>
      <c r="C127" s="356"/>
      <c r="D127" s="357"/>
      <c r="E127" s="358"/>
      <c r="F127" s="358"/>
      <c r="G127" s="359"/>
      <c r="H127" s="360"/>
      <c r="I127" s="360"/>
    </row>
    <row r="128" spans="2:9" ht="31.5" customHeight="1">
      <c r="B128" s="361">
        <v>119</v>
      </c>
      <c r="C128" s="356"/>
      <c r="D128" s="357"/>
      <c r="E128" s="358"/>
      <c r="F128" s="358"/>
      <c r="G128" s="359"/>
      <c r="H128" s="360"/>
      <c r="I128" s="360"/>
    </row>
    <row r="129" spans="2:9" ht="31.5" customHeight="1">
      <c r="B129" s="361">
        <v>120</v>
      </c>
      <c r="C129" s="356"/>
      <c r="D129" s="357"/>
      <c r="E129" s="358"/>
      <c r="F129" s="358"/>
      <c r="G129" s="359"/>
      <c r="H129" s="360"/>
      <c r="I129" s="360"/>
    </row>
    <row r="130" spans="2:9" ht="31.5" customHeight="1">
      <c r="B130" s="361">
        <v>121</v>
      </c>
      <c r="C130" s="356"/>
      <c r="D130" s="357"/>
      <c r="E130" s="358"/>
      <c r="F130" s="358"/>
      <c r="G130" s="359"/>
      <c r="H130" s="360"/>
      <c r="I130" s="360"/>
    </row>
    <row r="131" spans="2:9" ht="31.5" customHeight="1">
      <c r="B131" s="361">
        <v>122</v>
      </c>
      <c r="C131" s="356"/>
      <c r="D131" s="357"/>
      <c r="E131" s="358"/>
      <c r="F131" s="358"/>
      <c r="G131" s="359"/>
      <c r="H131" s="360"/>
      <c r="I131" s="360"/>
    </row>
    <row r="132" spans="2:9" ht="31.5" customHeight="1">
      <c r="B132" s="361">
        <v>123</v>
      </c>
      <c r="C132" s="356"/>
      <c r="D132" s="357"/>
      <c r="E132" s="358"/>
      <c r="F132" s="358"/>
      <c r="G132" s="359"/>
      <c r="H132" s="360"/>
      <c r="I132" s="360"/>
    </row>
    <row r="133" spans="2:9" ht="31.5" customHeight="1">
      <c r="B133" s="361">
        <v>124</v>
      </c>
      <c r="C133" s="356"/>
      <c r="D133" s="357"/>
      <c r="E133" s="358"/>
      <c r="F133" s="358"/>
      <c r="G133" s="359"/>
      <c r="H133" s="360"/>
      <c r="I133" s="360"/>
    </row>
    <row r="134" spans="2:9" ht="31.5" customHeight="1">
      <c r="B134" s="361">
        <v>125</v>
      </c>
      <c r="C134" s="356"/>
      <c r="D134" s="357"/>
      <c r="E134" s="358"/>
      <c r="F134" s="358"/>
      <c r="G134" s="359"/>
      <c r="H134" s="360"/>
      <c r="I134" s="360"/>
    </row>
    <row r="135" spans="2:9" ht="31.5" customHeight="1">
      <c r="B135" s="361">
        <v>126</v>
      </c>
      <c r="C135" s="356"/>
      <c r="D135" s="357"/>
      <c r="E135" s="358"/>
      <c r="F135" s="358"/>
      <c r="G135" s="359"/>
      <c r="H135" s="360"/>
      <c r="I135" s="360"/>
    </row>
    <row r="136" spans="2:9" ht="31.5" customHeight="1">
      <c r="B136" s="361"/>
      <c r="C136" s="356"/>
      <c r="D136" s="357"/>
      <c r="E136" s="358"/>
      <c r="F136" s="358"/>
      <c r="G136" s="359"/>
      <c r="H136" s="360"/>
      <c r="I136" s="360"/>
    </row>
    <row r="137" spans="2:9" ht="31.5" customHeight="1">
      <c r="B137" s="361">
        <v>127</v>
      </c>
      <c r="C137" s="356"/>
      <c r="D137" s="357"/>
      <c r="E137" s="358"/>
      <c r="F137" s="358"/>
      <c r="G137" s="359"/>
      <c r="H137" s="360"/>
      <c r="I137" s="360"/>
    </row>
    <row r="138" spans="2:9" ht="31.5" customHeight="1">
      <c r="B138" s="361">
        <v>128</v>
      </c>
      <c r="C138" s="356"/>
      <c r="D138" s="357"/>
      <c r="E138" s="358"/>
      <c r="F138" s="358"/>
      <c r="G138" s="359"/>
      <c r="H138" s="360"/>
      <c r="I138" s="360"/>
    </row>
    <row r="139" spans="2:9" ht="31.5" customHeight="1">
      <c r="B139" s="361">
        <v>129</v>
      </c>
      <c r="C139" s="356"/>
      <c r="D139" s="357"/>
      <c r="E139" s="358"/>
      <c r="F139" s="358"/>
      <c r="G139" s="359"/>
      <c r="H139" s="360"/>
      <c r="I139" s="360"/>
    </row>
    <row r="140" spans="2:9" ht="31.5" customHeight="1">
      <c r="B140" s="361">
        <v>130</v>
      </c>
      <c r="C140" s="356"/>
      <c r="D140" s="357"/>
      <c r="E140" s="358"/>
      <c r="F140" s="358"/>
      <c r="G140" s="359"/>
      <c r="H140" s="360"/>
      <c r="I140" s="360"/>
    </row>
    <row r="141" spans="2:9" ht="31.5" customHeight="1">
      <c r="B141" s="361">
        <v>131</v>
      </c>
      <c r="C141" s="356"/>
      <c r="D141" s="357"/>
      <c r="E141" s="358"/>
      <c r="F141" s="358"/>
      <c r="G141" s="359"/>
      <c r="H141" s="360"/>
      <c r="I141" s="360"/>
    </row>
    <row r="142" spans="2:9" ht="31.5" customHeight="1">
      <c r="B142" s="361">
        <v>132</v>
      </c>
      <c r="C142" s="356"/>
      <c r="D142" s="357"/>
      <c r="E142" s="358"/>
      <c r="F142" s="358"/>
      <c r="G142" s="359"/>
      <c r="H142" s="360"/>
      <c r="I142" s="360"/>
    </row>
    <row r="143" spans="2:9" ht="31.5" customHeight="1">
      <c r="B143" s="361">
        <v>133</v>
      </c>
      <c r="C143" s="356"/>
      <c r="D143" s="357"/>
      <c r="E143" s="358"/>
      <c r="F143" s="358"/>
      <c r="G143" s="359"/>
      <c r="H143" s="360"/>
      <c r="I143" s="360"/>
    </row>
    <row r="144" spans="2:9" ht="31.5" customHeight="1">
      <c r="B144" s="361">
        <v>134</v>
      </c>
      <c r="C144" s="356"/>
      <c r="D144" s="357"/>
      <c r="E144" s="358"/>
      <c r="F144" s="358"/>
      <c r="G144" s="359"/>
      <c r="H144" s="360"/>
      <c r="I144" s="360"/>
    </row>
    <row r="145" spans="2:9" ht="31.5" customHeight="1">
      <c r="B145" s="361">
        <v>135</v>
      </c>
      <c r="C145" s="356"/>
      <c r="D145" s="357"/>
      <c r="E145" s="358"/>
      <c r="F145" s="358"/>
      <c r="G145" s="359"/>
      <c r="H145" s="360"/>
      <c r="I145" s="360"/>
    </row>
    <row r="146" spans="2:9" ht="31.5" customHeight="1">
      <c r="B146" s="361">
        <v>136</v>
      </c>
      <c r="C146" s="356"/>
      <c r="D146" s="357"/>
      <c r="E146" s="358"/>
      <c r="F146" s="358"/>
      <c r="G146" s="359"/>
      <c r="H146" s="360"/>
      <c r="I146" s="360"/>
    </row>
    <row r="147" spans="2:9" ht="31.5" customHeight="1">
      <c r="B147" s="361">
        <v>137</v>
      </c>
      <c r="C147" s="356"/>
      <c r="D147" s="357"/>
      <c r="E147" s="358"/>
      <c r="F147" s="358"/>
      <c r="G147" s="359"/>
      <c r="H147" s="360"/>
      <c r="I147" s="360"/>
    </row>
    <row r="148" spans="2:9" ht="31.5" customHeight="1">
      <c r="B148" s="361">
        <v>138</v>
      </c>
      <c r="C148" s="356"/>
      <c r="D148" s="357"/>
      <c r="E148" s="358"/>
      <c r="F148" s="358"/>
      <c r="G148" s="359"/>
      <c r="H148" s="360"/>
      <c r="I148" s="360"/>
    </row>
    <row r="149" spans="2:9" ht="31.5" customHeight="1">
      <c r="B149" s="361">
        <v>139</v>
      </c>
      <c r="C149" s="356"/>
      <c r="D149" s="357"/>
      <c r="E149" s="358"/>
      <c r="F149" s="358"/>
      <c r="G149" s="359"/>
      <c r="H149" s="360"/>
      <c r="I149" s="360"/>
    </row>
    <row r="150" spans="2:9" ht="31.5" customHeight="1">
      <c r="B150" s="361">
        <v>140</v>
      </c>
      <c r="C150" s="356"/>
      <c r="D150" s="357"/>
      <c r="E150" s="358"/>
      <c r="F150" s="358"/>
      <c r="G150" s="359"/>
      <c r="H150" s="360"/>
      <c r="I150" s="360"/>
    </row>
    <row r="151" spans="2:9" ht="31.5" customHeight="1">
      <c r="B151" s="361">
        <v>141</v>
      </c>
      <c r="C151" s="356"/>
      <c r="D151" s="357"/>
      <c r="E151" s="358"/>
      <c r="F151" s="358"/>
      <c r="G151" s="359"/>
      <c r="H151" s="360"/>
      <c r="I151" s="360"/>
    </row>
    <row r="152" spans="2:9" ht="31.5" customHeight="1">
      <c r="B152" s="361">
        <v>142</v>
      </c>
      <c r="C152" s="356"/>
      <c r="D152" s="357"/>
      <c r="E152" s="358"/>
      <c r="F152" s="358"/>
      <c r="G152" s="359"/>
      <c r="H152" s="360"/>
      <c r="I152" s="360"/>
    </row>
    <row r="153" spans="2:9" ht="31.5" customHeight="1">
      <c r="B153" s="361">
        <v>143</v>
      </c>
      <c r="C153" s="356"/>
      <c r="D153" s="357"/>
      <c r="E153" s="358"/>
      <c r="F153" s="358"/>
      <c r="G153" s="359"/>
      <c r="H153" s="360"/>
      <c r="I153" s="360"/>
    </row>
    <row r="154" spans="2:9" ht="31.5" customHeight="1">
      <c r="B154" s="361">
        <v>144</v>
      </c>
      <c r="C154" s="356"/>
      <c r="D154" s="357"/>
      <c r="E154" s="358"/>
      <c r="F154" s="358"/>
      <c r="G154" s="359"/>
      <c r="H154" s="360"/>
      <c r="I154" s="360"/>
    </row>
    <row r="155" spans="2:9" ht="31.5" customHeight="1">
      <c r="B155" s="361">
        <v>145</v>
      </c>
      <c r="C155" s="356"/>
      <c r="D155" s="357"/>
      <c r="E155" s="358"/>
      <c r="F155" s="358"/>
      <c r="G155" s="359"/>
      <c r="H155" s="360"/>
      <c r="I155" s="360"/>
    </row>
    <row r="156" spans="2:9" ht="31.5" customHeight="1">
      <c r="B156" s="361">
        <v>146</v>
      </c>
      <c r="C156" s="356"/>
      <c r="D156" s="357"/>
      <c r="E156" s="358"/>
      <c r="F156" s="358"/>
      <c r="G156" s="359"/>
      <c r="H156" s="360"/>
      <c r="I156" s="360"/>
    </row>
    <row r="157" spans="2:9" ht="31.5" customHeight="1">
      <c r="B157" s="361">
        <v>147</v>
      </c>
      <c r="C157" s="356"/>
      <c r="D157" s="357"/>
      <c r="E157" s="358"/>
      <c r="F157" s="358"/>
      <c r="G157" s="359"/>
      <c r="H157" s="360"/>
      <c r="I157" s="360"/>
    </row>
    <row r="158" spans="2:9" ht="31.5" customHeight="1">
      <c r="B158" s="361">
        <v>148</v>
      </c>
      <c r="C158" s="356"/>
      <c r="D158" s="357"/>
      <c r="E158" s="358"/>
      <c r="F158" s="358"/>
      <c r="G158" s="359"/>
      <c r="H158" s="360"/>
      <c r="I158" s="360"/>
    </row>
    <row r="159" spans="2:9" ht="31.5" customHeight="1">
      <c r="B159" s="361">
        <v>149</v>
      </c>
      <c r="C159" s="356"/>
      <c r="D159" s="357"/>
      <c r="E159" s="358"/>
      <c r="F159" s="358"/>
      <c r="G159" s="359"/>
      <c r="H159" s="360"/>
      <c r="I159" s="360"/>
    </row>
    <row r="160" spans="2:9" ht="31.5" customHeight="1">
      <c r="B160" s="361">
        <v>150</v>
      </c>
      <c r="C160" s="356"/>
      <c r="D160" s="357"/>
      <c r="E160" s="358"/>
      <c r="F160" s="358"/>
      <c r="G160" s="359"/>
      <c r="H160" s="360"/>
      <c r="I160" s="360"/>
    </row>
    <row r="161" spans="2:9" ht="31.5" customHeight="1">
      <c r="B161" s="361">
        <v>151</v>
      </c>
      <c r="C161" s="356"/>
      <c r="D161" s="357"/>
      <c r="E161" s="358"/>
      <c r="F161" s="358"/>
      <c r="G161" s="359"/>
      <c r="H161" s="360"/>
      <c r="I161" s="360"/>
    </row>
    <row r="162" spans="2:9" ht="31.5" customHeight="1">
      <c r="B162" s="361">
        <v>152</v>
      </c>
      <c r="C162" s="356"/>
      <c r="D162" s="357"/>
      <c r="E162" s="358"/>
      <c r="F162" s="358"/>
      <c r="G162" s="359"/>
      <c r="H162" s="360"/>
      <c r="I162" s="360"/>
    </row>
    <row r="163" spans="2:9" ht="31.5" customHeight="1">
      <c r="B163" s="361">
        <v>153</v>
      </c>
      <c r="C163" s="356"/>
      <c r="D163" s="357"/>
      <c r="E163" s="358"/>
      <c r="F163" s="358"/>
      <c r="G163" s="359"/>
      <c r="H163" s="360"/>
      <c r="I163" s="360"/>
    </row>
    <row r="164" spans="2:9" ht="31.5" customHeight="1">
      <c r="B164" s="361">
        <v>154</v>
      </c>
      <c r="C164" s="356"/>
      <c r="D164" s="357"/>
      <c r="E164" s="358"/>
      <c r="F164" s="358"/>
      <c r="G164" s="359"/>
      <c r="H164" s="360"/>
      <c r="I164" s="360"/>
    </row>
    <row r="165" spans="2:9" ht="31.5" customHeight="1">
      <c r="B165" s="361">
        <v>155</v>
      </c>
      <c r="C165" s="356"/>
      <c r="D165" s="357"/>
      <c r="E165" s="362"/>
      <c r="F165" s="362"/>
      <c r="G165" s="359"/>
      <c r="H165" s="360"/>
      <c r="I165" s="360"/>
    </row>
    <row r="166" spans="2:9" ht="31.5" customHeight="1">
      <c r="B166" s="361">
        <v>156</v>
      </c>
      <c r="C166" s="350"/>
      <c r="D166" s="363"/>
      <c r="E166" s="358"/>
      <c r="F166" s="358"/>
      <c r="G166" s="180"/>
      <c r="H166" s="360"/>
      <c r="I166" s="360"/>
    </row>
    <row r="167" spans="2:9" ht="31.5" customHeight="1">
      <c r="B167" s="361">
        <v>157</v>
      </c>
      <c r="C167" s="356"/>
      <c r="D167" s="363"/>
      <c r="E167" s="358"/>
      <c r="F167" s="358"/>
      <c r="G167" s="180"/>
      <c r="H167" s="360"/>
      <c r="I167" s="360"/>
    </row>
    <row r="168" spans="2:9" ht="31.5" customHeight="1">
      <c r="B168" s="361">
        <v>158</v>
      </c>
      <c r="C168" s="356"/>
      <c r="D168" s="364"/>
      <c r="E168" s="365"/>
      <c r="F168" s="366"/>
      <c r="G168" s="367"/>
      <c r="H168" s="360"/>
      <c r="I168" s="360"/>
    </row>
    <row r="169" spans="2:9" ht="31.5" customHeight="1">
      <c r="B169" s="361">
        <v>159</v>
      </c>
      <c r="C169" s="356"/>
      <c r="D169" s="364"/>
      <c r="E169" s="365"/>
      <c r="F169" s="366"/>
      <c r="G169" s="367"/>
      <c r="H169" s="360"/>
      <c r="I169" s="360"/>
    </row>
    <row r="170" spans="2:9" ht="31.5" customHeight="1">
      <c r="B170" s="361">
        <v>160</v>
      </c>
      <c r="C170" s="356"/>
      <c r="D170" s="364"/>
      <c r="E170" s="365"/>
      <c r="F170" s="366"/>
      <c r="G170" s="367"/>
      <c r="H170" s="360"/>
      <c r="I170" s="360"/>
    </row>
    <row r="171" spans="2:9" ht="31.5" customHeight="1">
      <c r="B171" s="361">
        <v>161</v>
      </c>
      <c r="C171" s="356"/>
      <c r="D171" s="357"/>
      <c r="E171" s="366"/>
      <c r="F171" s="366"/>
      <c r="G171" s="367"/>
      <c r="H171" s="360"/>
      <c r="I171" s="360"/>
    </row>
    <row r="172" spans="2:9" ht="31.5" customHeight="1">
      <c r="B172" s="361">
        <v>162</v>
      </c>
      <c r="C172" s="356"/>
      <c r="D172" s="357"/>
      <c r="E172" s="366"/>
      <c r="F172" s="366"/>
      <c r="G172" s="367"/>
      <c r="H172" s="360"/>
      <c r="I172" s="360"/>
    </row>
    <row r="173" spans="2:9" ht="31.5" customHeight="1">
      <c r="B173" s="361">
        <v>163</v>
      </c>
      <c r="C173" s="356"/>
      <c r="D173" s="364"/>
      <c r="E173" s="365"/>
      <c r="F173" s="366"/>
      <c r="G173" s="367"/>
      <c r="H173" s="360"/>
      <c r="I173" s="360"/>
    </row>
    <row r="174" spans="2:9" ht="31.5" customHeight="1">
      <c r="B174" s="361">
        <v>164</v>
      </c>
      <c r="C174" s="356"/>
      <c r="D174" s="364"/>
      <c r="E174" s="365"/>
      <c r="F174" s="366"/>
      <c r="G174" s="367"/>
      <c r="H174" s="360"/>
      <c r="I174" s="360"/>
    </row>
    <row r="175" spans="2:9" ht="31.5" customHeight="1">
      <c r="B175" s="361">
        <v>165</v>
      </c>
      <c r="C175" s="356"/>
      <c r="D175" s="364"/>
      <c r="E175" s="365"/>
      <c r="F175" s="366"/>
      <c r="G175" s="367"/>
      <c r="H175" s="360"/>
      <c r="I175" s="360"/>
    </row>
    <row r="176" spans="2:9" ht="31.5" customHeight="1">
      <c r="B176" s="361">
        <v>166</v>
      </c>
      <c r="C176" s="356"/>
      <c r="D176" s="364"/>
      <c r="E176" s="365"/>
      <c r="F176" s="366"/>
      <c r="G176" s="367"/>
      <c r="H176" s="360"/>
      <c r="I176" s="360"/>
    </row>
    <row r="177" spans="2:9" ht="31.5" customHeight="1">
      <c r="B177" s="361">
        <v>167</v>
      </c>
      <c r="C177" s="356"/>
      <c r="D177" s="364"/>
      <c r="E177" s="365"/>
      <c r="F177" s="366"/>
      <c r="G177" s="367"/>
      <c r="H177" s="360"/>
      <c r="I177" s="360"/>
    </row>
    <row r="178" spans="2:9" ht="31.5" customHeight="1">
      <c r="B178" s="361">
        <v>168</v>
      </c>
      <c r="C178" s="356"/>
      <c r="D178" s="364"/>
      <c r="E178" s="365"/>
      <c r="F178" s="366"/>
      <c r="G178" s="367"/>
      <c r="H178" s="360"/>
      <c r="I178" s="360"/>
    </row>
    <row r="179" spans="2:9" ht="31.5" customHeight="1">
      <c r="B179" s="361">
        <v>169</v>
      </c>
      <c r="C179" s="356"/>
      <c r="D179" s="364"/>
      <c r="E179" s="365"/>
      <c r="F179" s="366"/>
      <c r="G179" s="367"/>
      <c r="H179" s="360"/>
      <c r="I179" s="360"/>
    </row>
    <row r="180" spans="2:9" ht="31.5" customHeight="1">
      <c r="B180" s="361">
        <v>170</v>
      </c>
      <c r="C180" s="356"/>
      <c r="D180" s="364"/>
      <c r="E180" s="365"/>
      <c r="F180" s="366"/>
      <c r="G180" s="367"/>
      <c r="H180" s="360"/>
      <c r="I180" s="360"/>
    </row>
    <row r="181" spans="2:9" ht="31.5" customHeight="1">
      <c r="B181" s="361">
        <v>171</v>
      </c>
      <c r="C181" s="356"/>
      <c r="D181" s="364"/>
      <c r="E181" s="365"/>
      <c r="F181" s="366"/>
      <c r="G181" s="367"/>
      <c r="H181" s="360"/>
      <c r="I181" s="360"/>
    </row>
    <row r="182" spans="2:9" ht="31.5" customHeight="1">
      <c r="B182" s="361">
        <v>172</v>
      </c>
      <c r="C182" s="356"/>
      <c r="D182" s="364"/>
      <c r="E182" s="365"/>
      <c r="F182" s="366"/>
      <c r="G182" s="367"/>
      <c r="H182" s="360"/>
      <c r="I182" s="360"/>
    </row>
    <row r="183" spans="2:9" ht="31.5" customHeight="1">
      <c r="B183" s="361">
        <v>173</v>
      </c>
      <c r="C183" s="356"/>
      <c r="D183" s="364"/>
      <c r="E183" s="365"/>
      <c r="F183" s="366"/>
      <c r="G183" s="367"/>
      <c r="H183" s="360"/>
      <c r="I183" s="360"/>
    </row>
    <row r="184" spans="2:9" ht="31.5" customHeight="1">
      <c r="B184" s="361">
        <v>174</v>
      </c>
      <c r="C184" s="356"/>
      <c r="D184" s="364"/>
      <c r="E184" s="365"/>
      <c r="F184" s="366"/>
      <c r="G184" s="367"/>
      <c r="H184" s="360"/>
      <c r="I184" s="360"/>
    </row>
    <row r="185" spans="2:9" ht="31.5" customHeight="1">
      <c r="B185" s="361">
        <v>175</v>
      </c>
      <c r="C185" s="356"/>
      <c r="D185" s="364"/>
      <c r="E185" s="365"/>
      <c r="F185" s="366"/>
      <c r="G185" s="367"/>
      <c r="H185" s="360"/>
      <c r="I185" s="360"/>
    </row>
    <row r="186" spans="2:9" ht="31.5" customHeight="1">
      <c r="B186" s="361">
        <v>176</v>
      </c>
      <c r="C186" s="356"/>
      <c r="D186" s="364"/>
      <c r="E186" s="365"/>
      <c r="F186" s="366"/>
      <c r="G186" s="367"/>
      <c r="H186" s="360"/>
      <c r="I186" s="360"/>
    </row>
    <row r="187" spans="2:9" ht="31.5" customHeight="1">
      <c r="B187" s="361">
        <v>177</v>
      </c>
      <c r="C187" s="356"/>
      <c r="D187" s="364"/>
      <c r="E187" s="365"/>
      <c r="F187" s="366"/>
      <c r="G187" s="367"/>
      <c r="H187" s="360"/>
      <c r="I187" s="360"/>
    </row>
    <row r="188" spans="2:9" ht="31.5" customHeight="1">
      <c r="B188" s="361">
        <v>178</v>
      </c>
      <c r="C188" s="356"/>
      <c r="D188" s="364"/>
      <c r="E188" s="365"/>
      <c r="F188" s="366"/>
      <c r="G188" s="367"/>
      <c r="H188" s="360"/>
      <c r="I188" s="360"/>
    </row>
    <row r="189" spans="2:9" ht="31.5" customHeight="1">
      <c r="B189" s="361">
        <v>179</v>
      </c>
      <c r="C189" s="356"/>
      <c r="D189" s="364"/>
      <c r="E189" s="365"/>
      <c r="F189" s="366"/>
      <c r="G189" s="367"/>
      <c r="H189" s="367"/>
      <c r="I189" s="367"/>
    </row>
    <row r="190" spans="2:9" ht="31.5" customHeight="1">
      <c r="B190" s="361">
        <v>180</v>
      </c>
      <c r="C190" s="356"/>
      <c r="D190" s="364"/>
      <c r="E190" s="365"/>
      <c r="F190" s="366"/>
      <c r="G190" s="367"/>
      <c r="H190" s="367"/>
      <c r="I190" s="367"/>
    </row>
    <row r="191" spans="2:9" ht="31.5" customHeight="1">
      <c r="B191" s="361">
        <v>181</v>
      </c>
      <c r="C191" s="356"/>
      <c r="D191" s="364"/>
      <c r="E191" s="365"/>
      <c r="F191" s="366"/>
      <c r="G191" s="367"/>
      <c r="H191" s="360"/>
      <c r="I191" s="360"/>
    </row>
    <row r="192" spans="2:9" ht="31.5" customHeight="1">
      <c r="B192" s="361">
        <v>182</v>
      </c>
      <c r="C192" s="356"/>
      <c r="D192" s="364"/>
      <c r="E192" s="365"/>
      <c r="F192" s="366"/>
      <c r="G192" s="367"/>
      <c r="H192" s="360"/>
      <c r="I192" s="360"/>
    </row>
    <row r="193" spans="2:9" ht="31.5" customHeight="1">
      <c r="B193" s="361">
        <v>183</v>
      </c>
      <c r="C193" s="356"/>
      <c r="D193" s="364"/>
      <c r="E193" s="365"/>
      <c r="F193" s="366"/>
      <c r="G193" s="367"/>
      <c r="H193" s="360"/>
      <c r="I193" s="360"/>
    </row>
    <row r="194" spans="2:9" ht="31.5" customHeight="1">
      <c r="B194" s="361">
        <v>184</v>
      </c>
      <c r="C194" s="356"/>
      <c r="D194" s="364"/>
      <c r="E194" s="365"/>
      <c r="F194" s="366"/>
      <c r="G194" s="367"/>
      <c r="H194" s="360"/>
      <c r="I194" s="360"/>
    </row>
    <row r="195" spans="2:9" ht="31.5" customHeight="1">
      <c r="B195" s="361">
        <v>185</v>
      </c>
      <c r="C195" s="356"/>
      <c r="D195" s="364"/>
      <c r="E195" s="365"/>
      <c r="F195" s="366"/>
      <c r="G195" s="367"/>
      <c r="H195" s="360"/>
      <c r="I195" s="360"/>
    </row>
    <row r="196" spans="2:9" ht="31.5" customHeight="1">
      <c r="B196" s="361">
        <v>186</v>
      </c>
      <c r="C196" s="356"/>
      <c r="D196" s="363"/>
      <c r="E196" s="352"/>
      <c r="F196" s="352"/>
      <c r="G196" s="180"/>
      <c r="H196" s="360"/>
      <c r="I196" s="360"/>
    </row>
    <row r="197" spans="2:9" ht="31.5" customHeight="1">
      <c r="B197" s="361">
        <v>187</v>
      </c>
      <c r="C197" s="356"/>
      <c r="D197" s="364"/>
      <c r="E197" s="365"/>
      <c r="F197" s="366"/>
      <c r="G197" s="367"/>
      <c r="H197" s="360"/>
      <c r="I197" s="360"/>
    </row>
    <row r="198" spans="2:9" ht="31.5" customHeight="1">
      <c r="B198" s="361">
        <v>188</v>
      </c>
      <c r="C198" s="356"/>
      <c r="D198" s="364"/>
      <c r="E198" s="365"/>
      <c r="F198" s="366"/>
      <c r="G198" s="367"/>
      <c r="H198" s="360"/>
      <c r="I198" s="360"/>
    </row>
    <row r="199" spans="2:9" ht="31.5" customHeight="1">
      <c r="B199" s="361">
        <v>189</v>
      </c>
      <c r="C199" s="356"/>
      <c r="D199" s="364"/>
      <c r="E199" s="365"/>
      <c r="F199" s="366"/>
      <c r="G199" s="367"/>
      <c r="H199" s="360"/>
      <c r="I199" s="360"/>
    </row>
    <row r="200" spans="2:9" ht="31.5" customHeight="1">
      <c r="B200" s="361">
        <v>190</v>
      </c>
      <c r="C200" s="356"/>
      <c r="D200" s="364"/>
      <c r="E200" s="365"/>
      <c r="F200" s="366"/>
      <c r="G200" s="367"/>
      <c r="H200" s="360"/>
      <c r="I200" s="360"/>
    </row>
    <row r="201" spans="2:9" ht="48.75" customHeight="1">
      <c r="B201" s="361">
        <v>191</v>
      </c>
      <c r="C201" s="356"/>
      <c r="D201" s="364"/>
      <c r="E201" s="365"/>
      <c r="F201" s="366"/>
      <c r="G201" s="367"/>
      <c r="H201" s="360"/>
      <c r="I201" s="360"/>
    </row>
    <row r="202" spans="2:9" ht="31.5" customHeight="1">
      <c r="B202" s="361">
        <v>192</v>
      </c>
      <c r="C202" s="356"/>
      <c r="D202" s="364"/>
      <c r="E202" s="368"/>
      <c r="F202" s="366"/>
      <c r="G202" s="367"/>
      <c r="H202" s="360"/>
      <c r="I202" s="360"/>
    </row>
    <row r="203" spans="2:9" ht="31.5" customHeight="1">
      <c r="B203" s="369">
        <v>193</v>
      </c>
      <c r="C203" s="356"/>
      <c r="D203" s="364"/>
      <c r="E203" s="368"/>
      <c r="F203" s="366"/>
      <c r="G203" s="367"/>
      <c r="H203" s="360"/>
      <c r="I203" s="360"/>
    </row>
    <row r="204" spans="2:9" ht="31.5" customHeight="1">
      <c r="B204" s="369">
        <v>194</v>
      </c>
      <c r="C204" s="356"/>
      <c r="D204" s="363"/>
      <c r="E204" s="370"/>
      <c r="F204" s="358"/>
      <c r="G204" s="180"/>
      <c r="H204" s="360"/>
      <c r="I204" s="360"/>
    </row>
    <row r="205" spans="2:9" ht="31.5" customHeight="1">
      <c r="B205" s="369">
        <v>195</v>
      </c>
      <c r="C205" s="350"/>
      <c r="D205" s="363"/>
      <c r="E205" s="352"/>
      <c r="F205" s="352"/>
      <c r="G205" s="180"/>
      <c r="H205" s="360"/>
      <c r="I205" s="360"/>
    </row>
    <row r="206" spans="2:9" ht="31.5" customHeight="1">
      <c r="B206" s="369">
        <v>196</v>
      </c>
      <c r="C206" s="356"/>
      <c r="D206" s="364"/>
      <c r="E206" s="365"/>
      <c r="F206" s="366"/>
      <c r="G206" s="367"/>
      <c r="H206" s="360"/>
      <c r="I206" s="360"/>
    </row>
    <row r="207" spans="2:9" ht="31.5" customHeight="1">
      <c r="B207" s="369">
        <v>197</v>
      </c>
      <c r="C207" s="356"/>
      <c r="D207" s="364"/>
      <c r="E207" s="365"/>
      <c r="F207" s="366"/>
      <c r="G207" s="367"/>
      <c r="H207" s="360"/>
      <c r="I207" s="360"/>
    </row>
    <row r="208" spans="2:9" ht="31.5" customHeight="1">
      <c r="B208" s="369">
        <v>198</v>
      </c>
      <c r="C208" s="356"/>
      <c r="D208" s="364"/>
      <c r="E208" s="365"/>
      <c r="F208" s="366"/>
      <c r="G208" s="367"/>
      <c r="H208" s="360"/>
      <c r="I208" s="360"/>
    </row>
    <row r="209" spans="2:9" ht="31.5" customHeight="1">
      <c r="B209" s="369">
        <v>199</v>
      </c>
      <c r="C209" s="356"/>
      <c r="D209" s="364"/>
      <c r="E209" s="365"/>
      <c r="F209" s="366"/>
      <c r="G209" s="367"/>
      <c r="H209" s="360"/>
      <c r="I209" s="360"/>
    </row>
    <row r="210" spans="2:9" ht="31.5" customHeight="1">
      <c r="B210" s="369">
        <v>200</v>
      </c>
      <c r="C210" s="356"/>
      <c r="D210" s="363"/>
      <c r="E210" s="358"/>
      <c r="F210" s="358"/>
      <c r="G210" s="180"/>
      <c r="H210" s="360"/>
      <c r="I210" s="371"/>
    </row>
    <row r="211" spans="2:9" ht="31.5" customHeight="1">
      <c r="B211" s="369">
        <v>201</v>
      </c>
      <c r="C211" s="350"/>
      <c r="D211" s="363"/>
      <c r="E211" s="358"/>
      <c r="F211" s="358"/>
      <c r="G211" s="180"/>
      <c r="H211" s="360"/>
      <c r="I211" s="360"/>
    </row>
    <row r="212" spans="2:9" ht="31.5" customHeight="1">
      <c r="B212" s="369">
        <v>202</v>
      </c>
      <c r="C212" s="350"/>
      <c r="D212" s="363"/>
      <c r="E212" s="358"/>
      <c r="F212" s="358"/>
      <c r="G212" s="180"/>
      <c r="H212" s="360"/>
      <c r="I212" s="360"/>
    </row>
    <row r="213" spans="2:9" ht="31.5" customHeight="1">
      <c r="B213" s="369">
        <v>203</v>
      </c>
      <c r="C213" s="350"/>
      <c r="D213" s="363"/>
      <c r="E213" s="358"/>
      <c r="F213" s="358"/>
      <c r="G213" s="180"/>
      <c r="H213" s="360"/>
      <c r="I213" s="360"/>
    </row>
    <row r="214" spans="2:9" ht="31.5" customHeight="1">
      <c r="B214" s="369">
        <v>204</v>
      </c>
      <c r="C214" s="350"/>
      <c r="D214" s="363"/>
      <c r="E214" s="358"/>
      <c r="F214" s="358"/>
      <c r="G214" s="180"/>
      <c r="H214" s="360"/>
      <c r="I214" s="360"/>
    </row>
    <row r="215" spans="2:9" ht="31.5" customHeight="1">
      <c r="B215" s="369">
        <v>205</v>
      </c>
      <c r="C215" s="350"/>
      <c r="D215" s="363"/>
      <c r="E215" s="358"/>
      <c r="F215" s="358"/>
      <c r="G215" s="180"/>
      <c r="H215" s="360"/>
      <c r="I215" s="360"/>
    </row>
    <row r="216" spans="2:9" ht="31.5" customHeight="1">
      <c r="B216" s="369">
        <v>206</v>
      </c>
      <c r="C216" s="350"/>
      <c r="D216" s="363"/>
      <c r="E216" s="362"/>
      <c r="F216" s="362"/>
      <c r="G216" s="180"/>
      <c r="H216" s="360"/>
      <c r="I216" s="360"/>
    </row>
    <row r="217" spans="2:9" ht="31.5" customHeight="1">
      <c r="B217" s="369">
        <v>207</v>
      </c>
      <c r="C217" s="350"/>
      <c r="D217" s="363"/>
      <c r="E217" s="362"/>
      <c r="F217" s="362"/>
      <c r="G217" s="180"/>
      <c r="H217" s="360"/>
      <c r="I217" s="360"/>
    </row>
    <row r="218" spans="2:9" ht="31.5" customHeight="1">
      <c r="B218" s="369">
        <v>208</v>
      </c>
      <c r="C218" s="350"/>
      <c r="D218" s="363"/>
      <c r="E218" s="358"/>
      <c r="F218" s="358"/>
      <c r="G218" s="180"/>
      <c r="H218" s="360"/>
      <c r="I218" s="360"/>
    </row>
    <row r="219" spans="2:9" ht="31.5" customHeight="1">
      <c r="B219" s="369">
        <v>209</v>
      </c>
      <c r="C219" s="356"/>
      <c r="D219" s="363"/>
      <c r="E219" s="366"/>
      <c r="F219" s="366"/>
      <c r="G219" s="367"/>
      <c r="H219" s="360"/>
      <c r="I219" s="360"/>
    </row>
    <row r="220" spans="2:9" ht="31.5" customHeight="1">
      <c r="B220" s="369">
        <v>210</v>
      </c>
      <c r="C220" s="356"/>
      <c r="D220" s="364"/>
      <c r="E220" s="366"/>
      <c r="F220" s="366"/>
      <c r="G220" s="367"/>
      <c r="H220" s="360"/>
      <c r="I220" s="360"/>
    </row>
    <row r="221" spans="2:9" ht="31.5" customHeight="1">
      <c r="B221" s="369">
        <v>211</v>
      </c>
      <c r="C221" s="356"/>
      <c r="D221" s="364"/>
      <c r="E221" s="366"/>
      <c r="F221" s="366"/>
      <c r="G221" s="180"/>
      <c r="H221" s="360"/>
      <c r="I221" s="360"/>
    </row>
    <row r="222" spans="2:9" ht="31.5" customHeight="1">
      <c r="B222" s="369">
        <v>212</v>
      </c>
      <c r="C222" s="356"/>
      <c r="D222" s="364"/>
      <c r="E222" s="366"/>
      <c r="F222" s="366"/>
      <c r="G222" s="367"/>
      <c r="H222" s="360"/>
      <c r="I222" s="360"/>
    </row>
    <row r="223" spans="2:9" ht="31.5" customHeight="1">
      <c r="B223" s="369">
        <v>213</v>
      </c>
      <c r="C223" s="356"/>
      <c r="D223" s="364"/>
      <c r="E223" s="366"/>
      <c r="F223" s="366"/>
      <c r="G223" s="367"/>
      <c r="H223" s="360"/>
      <c r="I223" s="360"/>
    </row>
    <row r="224" spans="2:9" ht="31.5" customHeight="1">
      <c r="B224" s="369">
        <v>214</v>
      </c>
      <c r="C224" s="350"/>
      <c r="D224" s="363"/>
      <c r="E224" s="366"/>
      <c r="F224" s="366"/>
      <c r="G224" s="180"/>
      <c r="H224" s="360"/>
      <c r="I224" s="360"/>
    </row>
    <row r="225" spans="2:9" ht="31.5" customHeight="1">
      <c r="B225" s="369">
        <v>215</v>
      </c>
      <c r="C225" s="356"/>
      <c r="D225" s="364"/>
      <c r="E225" s="365"/>
      <c r="F225" s="366"/>
      <c r="G225" s="367"/>
      <c r="H225" s="360"/>
      <c r="I225" s="360"/>
    </row>
    <row r="226" spans="2:9" ht="31.5" customHeight="1">
      <c r="B226" s="369">
        <v>216</v>
      </c>
      <c r="C226" s="356"/>
      <c r="D226" s="364"/>
      <c r="E226" s="365"/>
      <c r="F226" s="366"/>
      <c r="G226" s="367"/>
      <c r="H226" s="360"/>
      <c r="I226" s="360"/>
    </row>
    <row r="227" spans="2:9" ht="31.5" customHeight="1">
      <c r="B227" s="369">
        <v>217</v>
      </c>
      <c r="C227" s="356"/>
      <c r="D227" s="364"/>
      <c r="E227" s="365"/>
      <c r="F227" s="366"/>
      <c r="G227" s="367"/>
      <c r="H227" s="360"/>
      <c r="I227" s="360"/>
    </row>
    <row r="228" spans="2:9" ht="31.5" customHeight="1">
      <c r="B228" s="369">
        <v>218</v>
      </c>
      <c r="C228" s="356"/>
      <c r="D228" s="364"/>
      <c r="E228" s="365"/>
      <c r="F228" s="366"/>
      <c r="G228" s="367"/>
      <c r="H228" s="360"/>
      <c r="I228" s="360"/>
    </row>
    <row r="229" spans="2:9" ht="31.5" customHeight="1">
      <c r="B229" s="369">
        <v>219</v>
      </c>
      <c r="C229" s="356"/>
      <c r="D229" s="364"/>
      <c r="E229" s="365"/>
      <c r="F229" s="366"/>
      <c r="G229" s="367"/>
      <c r="H229" s="360"/>
      <c r="I229" s="360"/>
    </row>
    <row r="230" spans="2:9" ht="31.5" customHeight="1">
      <c r="B230" s="369">
        <v>220</v>
      </c>
      <c r="C230" s="356"/>
      <c r="D230" s="364"/>
      <c r="E230" s="365"/>
      <c r="F230" s="366"/>
      <c r="G230" s="367"/>
      <c r="H230" s="360"/>
      <c r="I230" s="360"/>
    </row>
    <row r="231" spans="2:9" ht="31.5" customHeight="1">
      <c r="B231" s="369">
        <v>221</v>
      </c>
      <c r="C231" s="356"/>
      <c r="D231" s="364"/>
      <c r="E231" s="365"/>
      <c r="F231" s="366"/>
      <c r="G231" s="367"/>
      <c r="H231" s="360"/>
      <c r="I231" s="360"/>
    </row>
    <row r="232" spans="2:9" ht="31.5" customHeight="1">
      <c r="B232" s="369">
        <v>222</v>
      </c>
      <c r="C232" s="356"/>
      <c r="D232" s="364"/>
      <c r="E232" s="365"/>
      <c r="F232" s="366"/>
      <c r="G232" s="367"/>
      <c r="H232" s="360"/>
      <c r="I232" s="360"/>
    </row>
    <row r="233" spans="2:9" ht="31.5" customHeight="1">
      <c r="B233" s="369">
        <v>223</v>
      </c>
      <c r="C233" s="356"/>
      <c r="D233" s="364"/>
      <c r="E233" s="365"/>
      <c r="F233" s="366"/>
      <c r="G233" s="367"/>
      <c r="H233" s="360"/>
      <c r="I233" s="360"/>
    </row>
    <row r="234" spans="2:9" ht="31.5" customHeight="1">
      <c r="B234" s="369">
        <v>224</v>
      </c>
      <c r="C234" s="356"/>
      <c r="D234" s="364"/>
      <c r="E234" s="365"/>
      <c r="F234" s="366"/>
      <c r="G234" s="367"/>
      <c r="H234" s="360"/>
      <c r="I234" s="360"/>
    </row>
    <row r="235" spans="2:9" ht="31.5" customHeight="1">
      <c r="B235" s="369">
        <v>225</v>
      </c>
      <c r="C235" s="356"/>
      <c r="D235" s="364"/>
      <c r="E235" s="365"/>
      <c r="F235" s="366"/>
      <c r="G235" s="367"/>
      <c r="H235" s="360"/>
      <c r="I235" s="360"/>
    </row>
    <row r="236" spans="2:9" ht="31.5" customHeight="1">
      <c r="B236" s="369">
        <v>226</v>
      </c>
      <c r="C236" s="356"/>
      <c r="D236" s="364"/>
      <c r="E236" s="365"/>
      <c r="F236" s="366"/>
      <c r="G236" s="367"/>
      <c r="H236" s="360"/>
      <c r="I236" s="360"/>
    </row>
    <row r="237" spans="2:9" ht="31.5" customHeight="1">
      <c r="B237" s="369">
        <v>227</v>
      </c>
      <c r="C237" s="356"/>
      <c r="D237" s="364"/>
      <c r="E237" s="365"/>
      <c r="F237" s="366"/>
      <c r="G237" s="367"/>
      <c r="H237" s="360"/>
      <c r="I237" s="360"/>
    </row>
    <row r="238" spans="2:9" ht="31.5" customHeight="1">
      <c r="B238" s="369">
        <v>228</v>
      </c>
      <c r="C238" s="356"/>
      <c r="D238" s="364"/>
      <c r="E238" s="365"/>
      <c r="F238" s="366"/>
      <c r="G238" s="367"/>
      <c r="H238" s="360"/>
      <c r="I238" s="360"/>
    </row>
    <row r="239" spans="2:9" ht="31.5" customHeight="1">
      <c r="B239" s="369">
        <v>229</v>
      </c>
      <c r="C239" s="356"/>
      <c r="D239" s="364"/>
      <c r="E239" s="365"/>
      <c r="F239" s="366"/>
      <c r="G239" s="367"/>
      <c r="H239" s="360"/>
      <c r="I239" s="360"/>
    </row>
    <row r="240" spans="2:9" ht="31.5" customHeight="1">
      <c r="B240" s="369">
        <v>230</v>
      </c>
      <c r="C240" s="356"/>
      <c r="D240" s="364"/>
      <c r="E240" s="365"/>
      <c r="F240" s="366"/>
      <c r="G240" s="367"/>
      <c r="H240" s="360"/>
      <c r="I240" s="360"/>
    </row>
    <row r="241" spans="2:9" ht="31.5" customHeight="1">
      <c r="B241" s="369">
        <v>231</v>
      </c>
      <c r="C241" s="356"/>
      <c r="D241" s="364"/>
      <c r="E241" s="365"/>
      <c r="F241" s="366"/>
      <c r="G241" s="367"/>
      <c r="H241" s="360"/>
      <c r="I241" s="360"/>
    </row>
    <row r="242" spans="2:9" ht="31.5" customHeight="1">
      <c r="B242" s="369">
        <v>232</v>
      </c>
      <c r="C242" s="356"/>
      <c r="D242" s="364"/>
      <c r="E242" s="365"/>
      <c r="F242" s="366"/>
      <c r="G242" s="367"/>
      <c r="H242" s="360"/>
      <c r="I242" s="360"/>
    </row>
    <row r="243" spans="2:9" ht="31.5" customHeight="1">
      <c r="B243" s="369">
        <v>233</v>
      </c>
      <c r="C243" s="356"/>
      <c r="D243" s="364"/>
      <c r="E243" s="365"/>
      <c r="F243" s="366"/>
      <c r="G243" s="367"/>
      <c r="H243" s="360"/>
      <c r="I243" s="360"/>
    </row>
    <row r="244" spans="2:9" ht="31.5" customHeight="1">
      <c r="B244" s="369">
        <v>234</v>
      </c>
      <c r="C244" s="356"/>
      <c r="D244" s="364"/>
      <c r="E244" s="365"/>
      <c r="F244" s="366"/>
      <c r="G244" s="367"/>
      <c r="H244" s="360"/>
      <c r="I244" s="360"/>
    </row>
    <row r="245" spans="2:9" ht="31.5" customHeight="1">
      <c r="B245" s="369">
        <v>235</v>
      </c>
      <c r="C245" s="356"/>
      <c r="D245" s="364"/>
      <c r="E245" s="365"/>
      <c r="F245" s="366"/>
      <c r="G245" s="367"/>
      <c r="H245" s="360"/>
      <c r="I245" s="360"/>
    </row>
    <row r="246" spans="2:9" ht="31.5" customHeight="1">
      <c r="B246" s="369">
        <v>236</v>
      </c>
      <c r="C246" s="356"/>
      <c r="D246" s="364"/>
      <c r="E246" s="365"/>
      <c r="F246" s="366"/>
      <c r="G246" s="367"/>
      <c r="H246" s="360"/>
      <c r="I246" s="360"/>
    </row>
    <row r="247" spans="2:9" ht="31.5" customHeight="1">
      <c r="B247" s="369">
        <v>237</v>
      </c>
      <c r="C247" s="372"/>
      <c r="D247" s="373"/>
      <c r="E247" s="374"/>
      <c r="F247" s="375"/>
      <c r="G247" s="376"/>
      <c r="H247" s="377"/>
      <c r="I247" s="360"/>
    </row>
    <row r="248" spans="2:9" ht="31.5" customHeight="1">
      <c r="B248" s="369">
        <v>238</v>
      </c>
      <c r="C248" s="356"/>
      <c r="D248" s="364"/>
      <c r="E248" s="365"/>
      <c r="F248" s="366"/>
      <c r="G248" s="367"/>
      <c r="H248" s="360"/>
      <c r="I248" s="360"/>
    </row>
    <row r="249" spans="2:9" ht="31.5" customHeight="1">
      <c r="B249" s="369">
        <v>239</v>
      </c>
      <c r="C249" s="356"/>
      <c r="D249" s="364"/>
      <c r="E249" s="365"/>
      <c r="F249" s="366"/>
      <c r="G249" s="367"/>
      <c r="H249" s="360"/>
      <c r="I249" s="360"/>
    </row>
    <row r="250" spans="2:9" ht="31.5" customHeight="1">
      <c r="B250" s="369">
        <v>240</v>
      </c>
      <c r="C250" s="356"/>
      <c r="D250" s="364"/>
      <c r="E250" s="365"/>
      <c r="F250" s="366"/>
      <c r="G250" s="367"/>
      <c r="H250" s="360"/>
      <c r="I250" s="360"/>
    </row>
    <row r="251" spans="2:9" ht="31.5" customHeight="1">
      <c r="B251" s="369">
        <v>241</v>
      </c>
      <c r="C251" s="356"/>
      <c r="D251" s="364"/>
      <c r="E251" s="365"/>
      <c r="F251" s="366"/>
      <c r="G251" s="367"/>
      <c r="H251" s="360"/>
      <c r="I251" s="360"/>
    </row>
    <row r="252" spans="2:9" ht="31.5" customHeight="1">
      <c r="B252" s="369">
        <v>242</v>
      </c>
      <c r="C252" s="356"/>
      <c r="D252" s="364"/>
      <c r="E252" s="365"/>
      <c r="F252" s="366"/>
      <c r="G252" s="367"/>
      <c r="H252" s="360"/>
      <c r="I252" s="360"/>
    </row>
    <row r="253" spans="2:9" ht="31.5" customHeight="1">
      <c r="B253" s="369">
        <v>243</v>
      </c>
      <c r="C253" s="356"/>
      <c r="D253" s="364"/>
      <c r="E253" s="365"/>
      <c r="F253" s="366"/>
      <c r="G253" s="367"/>
      <c r="H253" s="360"/>
      <c r="I253" s="360"/>
    </row>
    <row r="254" spans="2:9" ht="31.5" customHeight="1">
      <c r="B254" s="369">
        <v>245</v>
      </c>
      <c r="C254" s="356"/>
      <c r="D254" s="364"/>
      <c r="E254" s="365"/>
      <c r="F254" s="366"/>
      <c r="G254" s="367"/>
      <c r="H254" s="360"/>
      <c r="I254" s="360"/>
    </row>
    <row r="255" spans="2:9" ht="31.5" customHeight="1">
      <c r="B255" s="369">
        <v>246</v>
      </c>
      <c r="C255" s="356"/>
      <c r="D255" s="364"/>
      <c r="E255" s="365"/>
      <c r="F255" s="366"/>
      <c r="G255" s="367"/>
      <c r="H255" s="360"/>
      <c r="I255" s="360"/>
    </row>
    <row r="256" spans="2:9" ht="31.5" customHeight="1">
      <c r="B256" s="369">
        <v>247</v>
      </c>
      <c r="C256" s="356"/>
      <c r="D256" s="364"/>
      <c r="E256" s="365"/>
      <c r="F256" s="366"/>
      <c r="G256" s="367"/>
      <c r="H256" s="360"/>
      <c r="I256" s="360"/>
    </row>
    <row r="257" spans="2:12" ht="31.5" customHeight="1">
      <c r="B257" s="369">
        <v>248</v>
      </c>
      <c r="C257" s="356"/>
      <c r="D257" s="364"/>
      <c r="E257" s="365"/>
      <c r="F257" s="366"/>
      <c r="G257" s="367"/>
      <c r="H257" s="360"/>
      <c r="I257" s="360"/>
    </row>
    <row r="258" spans="2:12" ht="31.5" customHeight="1">
      <c r="B258" s="369">
        <v>249</v>
      </c>
      <c r="C258" s="356"/>
      <c r="D258" s="364"/>
      <c r="E258" s="365"/>
      <c r="F258" s="366"/>
      <c r="G258" s="367"/>
      <c r="H258" s="360"/>
      <c r="I258" s="360"/>
    </row>
    <row r="259" spans="2:12" ht="31.5" customHeight="1">
      <c r="B259" s="369">
        <v>250</v>
      </c>
      <c r="C259" s="356"/>
      <c r="D259" s="364"/>
      <c r="E259" s="365"/>
      <c r="F259" s="366"/>
      <c r="G259" s="367"/>
      <c r="H259" s="360"/>
      <c r="I259" s="360"/>
      <c r="J259" s="378">
        <v>41470</v>
      </c>
      <c r="K259" s="378">
        <v>41486</v>
      </c>
      <c r="L259" s="316" t="s">
        <v>185</v>
      </c>
    </row>
    <row r="260" spans="2:12" ht="31.5" customHeight="1">
      <c r="B260" s="369">
        <v>251</v>
      </c>
      <c r="C260" s="356"/>
      <c r="D260" s="364"/>
      <c r="E260" s="365"/>
      <c r="F260" s="366"/>
      <c r="G260" s="367"/>
      <c r="H260" s="360"/>
      <c r="I260" s="360"/>
    </row>
    <row r="261" spans="2:12" ht="31.5" customHeight="1">
      <c r="B261" s="369">
        <v>252</v>
      </c>
      <c r="C261" s="356"/>
      <c r="D261" s="364"/>
      <c r="E261" s="365"/>
      <c r="F261" s="366"/>
      <c r="G261" s="367"/>
      <c r="H261" s="360"/>
      <c r="I261" s="360"/>
    </row>
    <row r="262" spans="2:12" ht="31.5" customHeight="1">
      <c r="B262" s="369">
        <v>253</v>
      </c>
      <c r="C262" s="356"/>
      <c r="D262" s="373"/>
      <c r="E262" s="365"/>
      <c r="F262" s="366"/>
      <c r="G262" s="367"/>
      <c r="H262" s="360"/>
      <c r="I262" s="360"/>
    </row>
    <row r="263" spans="2:12" ht="31.5" customHeight="1">
      <c r="B263" s="369">
        <v>254</v>
      </c>
      <c r="C263" s="356"/>
      <c r="D263" s="364"/>
      <c r="E263" s="365"/>
      <c r="F263" s="366"/>
      <c r="G263" s="367"/>
      <c r="H263" s="360"/>
      <c r="I263" s="360"/>
    </row>
    <row r="264" spans="2:12" ht="31.5" customHeight="1">
      <c r="B264" s="369">
        <v>255</v>
      </c>
      <c r="C264" s="356"/>
      <c r="D264" s="364"/>
      <c r="E264" s="365"/>
      <c r="F264" s="366"/>
      <c r="G264" s="367"/>
      <c r="H264" s="360"/>
      <c r="I264" s="360"/>
    </row>
    <row r="265" spans="2:12" ht="31.5" customHeight="1">
      <c r="B265" s="369">
        <v>256</v>
      </c>
      <c r="C265" s="356"/>
      <c r="D265" s="364"/>
      <c r="E265" s="365"/>
      <c r="F265" s="366"/>
      <c r="G265" s="367"/>
      <c r="H265" s="360"/>
      <c r="I265" s="360"/>
      <c r="J265" s="316" t="s">
        <v>186</v>
      </c>
    </row>
    <row r="266" spans="2:12" ht="31.5" customHeight="1">
      <c r="B266" s="369">
        <v>257</v>
      </c>
      <c r="C266" s="356"/>
      <c r="D266" s="364"/>
      <c r="E266" s="365"/>
      <c r="F266" s="366"/>
      <c r="G266" s="367"/>
      <c r="H266" s="360"/>
      <c r="I266" s="360"/>
    </row>
    <row r="267" spans="2:12" ht="31.5" customHeight="1">
      <c r="B267" s="369">
        <v>258</v>
      </c>
      <c r="C267" s="356"/>
      <c r="D267" s="364"/>
      <c r="E267" s="365"/>
      <c r="F267" s="366"/>
      <c r="G267" s="367"/>
      <c r="H267" s="360"/>
      <c r="I267" s="360"/>
      <c r="J267" s="316" t="s">
        <v>187</v>
      </c>
    </row>
    <row r="268" spans="2:12" ht="31.5" customHeight="1">
      <c r="B268" s="369">
        <v>259</v>
      </c>
      <c r="C268" s="356"/>
      <c r="D268" s="364"/>
      <c r="E268" s="365"/>
      <c r="F268" s="366"/>
      <c r="G268" s="367"/>
      <c r="H268" s="360"/>
      <c r="I268" s="360"/>
      <c r="J268" s="316" t="s">
        <v>188</v>
      </c>
    </row>
    <row r="269" spans="2:12" ht="31.5" customHeight="1">
      <c r="B269" s="369">
        <v>260</v>
      </c>
      <c r="C269" s="356"/>
      <c r="D269" s="364"/>
      <c r="E269" s="365"/>
      <c r="F269" s="366"/>
      <c r="G269" s="367"/>
      <c r="H269" s="360"/>
      <c r="I269" s="360"/>
      <c r="J269" s="316" t="s">
        <v>189</v>
      </c>
    </row>
    <row r="270" spans="2:12" ht="31.5" customHeight="1">
      <c r="B270" s="369">
        <v>261</v>
      </c>
      <c r="C270" s="356"/>
      <c r="D270" s="364"/>
      <c r="E270" s="365"/>
      <c r="F270" s="366"/>
      <c r="G270" s="367"/>
      <c r="H270" s="360"/>
      <c r="I270" s="360"/>
      <c r="J270" s="316" t="s">
        <v>191</v>
      </c>
    </row>
    <row r="271" spans="2:12" ht="31.5" customHeight="1">
      <c r="B271" s="369">
        <v>262</v>
      </c>
      <c r="C271" s="356"/>
      <c r="D271" s="364"/>
      <c r="E271" s="365"/>
      <c r="F271" s="366"/>
      <c r="G271" s="367"/>
      <c r="H271" s="360"/>
      <c r="I271" s="360"/>
      <c r="J271" s="316" t="s">
        <v>192</v>
      </c>
    </row>
    <row r="272" spans="2:12" ht="31.5" customHeight="1">
      <c r="B272" s="369">
        <v>263</v>
      </c>
      <c r="C272" s="356"/>
      <c r="D272" s="364"/>
      <c r="E272" s="365"/>
      <c r="F272" s="366"/>
      <c r="G272" s="367"/>
      <c r="H272" s="360"/>
      <c r="I272" s="360"/>
      <c r="J272" s="316" t="s">
        <v>193</v>
      </c>
    </row>
    <row r="273" spans="2:10" ht="31.5" customHeight="1">
      <c r="B273" s="369">
        <v>264</v>
      </c>
      <c r="C273" s="356"/>
      <c r="D273" s="364"/>
      <c r="E273" s="365"/>
      <c r="F273" s="366"/>
      <c r="G273" s="367"/>
      <c r="H273" s="360"/>
      <c r="I273" s="360"/>
    </row>
    <row r="274" spans="2:10" ht="31.5" customHeight="1">
      <c r="B274" s="369">
        <v>265</v>
      </c>
      <c r="C274" s="356"/>
      <c r="D274" s="364"/>
      <c r="E274" s="365"/>
      <c r="F274" s="366"/>
      <c r="G274" s="367"/>
      <c r="H274" s="360"/>
      <c r="I274" s="360"/>
      <c r="J274" s="316" t="s">
        <v>194</v>
      </c>
    </row>
    <row r="275" spans="2:10" ht="31.5" customHeight="1">
      <c r="B275" s="369">
        <v>266</v>
      </c>
      <c r="C275" s="356"/>
      <c r="D275" s="364"/>
      <c r="E275" s="365"/>
      <c r="F275" s="366"/>
      <c r="G275" s="367"/>
      <c r="H275" s="360"/>
      <c r="I275" s="360"/>
      <c r="J275" s="316" t="s">
        <v>195</v>
      </c>
    </row>
    <row r="276" spans="2:10" ht="31.5" customHeight="1">
      <c r="B276" s="369">
        <v>267</v>
      </c>
      <c r="C276" s="356"/>
      <c r="D276" s="364"/>
      <c r="E276" s="365"/>
      <c r="F276" s="366"/>
      <c r="G276" s="367"/>
      <c r="H276" s="360"/>
      <c r="I276" s="360"/>
      <c r="J276" s="316" t="s">
        <v>197</v>
      </c>
    </row>
    <row r="277" spans="2:10" ht="31.5" customHeight="1">
      <c r="B277" s="369">
        <v>268</v>
      </c>
      <c r="C277" s="356"/>
      <c r="D277" s="364"/>
      <c r="E277" s="365"/>
      <c r="F277" s="366"/>
      <c r="G277" s="367"/>
      <c r="H277" s="360"/>
      <c r="I277" s="360"/>
      <c r="J277" s="316" t="s">
        <v>196</v>
      </c>
    </row>
    <row r="278" spans="2:10" ht="31.5" customHeight="1">
      <c r="B278" s="369">
        <v>269</v>
      </c>
      <c r="C278" s="356"/>
      <c r="D278" s="364"/>
      <c r="E278" s="365"/>
      <c r="F278" s="366"/>
      <c r="G278" s="367"/>
      <c r="H278" s="360"/>
      <c r="I278" s="360"/>
      <c r="J278" s="316" t="s">
        <v>201</v>
      </c>
    </row>
    <row r="279" spans="2:10" ht="31.5" customHeight="1">
      <c r="B279" s="369">
        <v>270</v>
      </c>
      <c r="C279" s="356"/>
      <c r="D279" s="364"/>
      <c r="E279" s="365"/>
      <c r="F279" s="366"/>
      <c r="G279" s="367"/>
      <c r="H279" s="360"/>
      <c r="I279" s="360"/>
      <c r="J279" s="316" t="s">
        <v>202</v>
      </c>
    </row>
    <row r="280" spans="2:10" ht="31.5" customHeight="1">
      <c r="B280" s="369">
        <v>271</v>
      </c>
      <c r="C280" s="356"/>
      <c r="D280" s="364"/>
      <c r="E280" s="365"/>
      <c r="F280" s="366"/>
      <c r="G280" s="367"/>
      <c r="H280" s="360"/>
      <c r="I280" s="360"/>
    </row>
    <row r="281" spans="2:10" ht="31.5" customHeight="1">
      <c r="B281" s="369">
        <v>272</v>
      </c>
      <c r="C281" s="356"/>
      <c r="D281" s="364"/>
      <c r="E281" s="365"/>
      <c r="F281" s="366"/>
      <c r="G281" s="367"/>
      <c r="H281" s="360"/>
      <c r="I281" s="360"/>
      <c r="J281" s="316" t="s">
        <v>200</v>
      </c>
    </row>
    <row r="282" spans="2:10" ht="31.5" customHeight="1">
      <c r="B282" s="369">
        <v>273</v>
      </c>
      <c r="C282" s="356"/>
      <c r="D282" s="364"/>
      <c r="E282" s="365"/>
      <c r="F282" s="366"/>
      <c r="G282" s="367"/>
      <c r="H282" s="360"/>
      <c r="I282" s="360"/>
    </row>
    <row r="283" spans="2:10" ht="31.5" customHeight="1">
      <c r="B283" s="369">
        <v>274</v>
      </c>
      <c r="C283" s="356"/>
      <c r="D283" s="364"/>
      <c r="E283" s="365"/>
      <c r="F283" s="366"/>
      <c r="G283" s="367"/>
      <c r="H283" s="360"/>
      <c r="I283" s="360"/>
      <c r="J283" s="316" t="s">
        <v>203</v>
      </c>
    </row>
    <row r="284" spans="2:10" ht="31.5" customHeight="1">
      <c r="B284" s="369">
        <v>275</v>
      </c>
      <c r="C284" s="356"/>
      <c r="D284" s="364"/>
      <c r="E284" s="365"/>
      <c r="F284" s="366"/>
      <c r="G284" s="367"/>
      <c r="H284" s="360"/>
      <c r="I284" s="360"/>
    </row>
    <row r="285" spans="2:10" ht="31.5" customHeight="1">
      <c r="B285" s="369">
        <v>276</v>
      </c>
      <c r="C285" s="356"/>
      <c r="D285" s="364"/>
      <c r="E285" s="365"/>
      <c r="F285" s="366"/>
      <c r="G285" s="367"/>
      <c r="H285" s="360"/>
      <c r="I285" s="360"/>
      <c r="J285" s="316" t="s">
        <v>204</v>
      </c>
    </row>
    <row r="286" spans="2:10" ht="31.5" customHeight="1">
      <c r="B286" s="369">
        <v>277</v>
      </c>
      <c r="C286" s="356"/>
      <c r="D286" s="364"/>
      <c r="E286" s="365"/>
      <c r="F286" s="366"/>
      <c r="G286" s="367"/>
      <c r="H286" s="360"/>
      <c r="I286" s="360"/>
    </row>
    <row r="287" spans="2:10" ht="31.5" customHeight="1">
      <c r="B287" s="369">
        <v>278</v>
      </c>
      <c r="C287" s="356"/>
      <c r="D287" s="364"/>
      <c r="E287" s="365"/>
      <c r="F287" s="366"/>
      <c r="G287" s="367"/>
      <c r="H287" s="360"/>
      <c r="I287" s="360"/>
      <c r="J287" s="316" t="s">
        <v>205</v>
      </c>
    </row>
    <row r="288" spans="2:10" ht="31.5" customHeight="1">
      <c r="B288" s="369">
        <v>279</v>
      </c>
      <c r="C288" s="356"/>
      <c r="D288" s="364"/>
      <c r="E288" s="365"/>
      <c r="F288" s="366"/>
      <c r="G288" s="367"/>
      <c r="H288" s="360"/>
      <c r="I288" s="360"/>
    </row>
    <row r="289" spans="2:10" ht="31.5" customHeight="1">
      <c r="B289" s="369">
        <v>280</v>
      </c>
      <c r="C289" s="356"/>
      <c r="D289" s="364"/>
      <c r="E289" s="365"/>
      <c r="F289" s="366"/>
      <c r="G289" s="367"/>
      <c r="H289" s="360"/>
      <c r="I289" s="360"/>
      <c r="J289" s="316" t="s">
        <v>206</v>
      </c>
    </row>
    <row r="290" spans="2:10" ht="31.5" customHeight="1">
      <c r="B290" s="369">
        <v>281</v>
      </c>
      <c r="C290" s="356"/>
      <c r="D290" s="364"/>
      <c r="E290" s="365"/>
      <c r="F290" s="366"/>
      <c r="G290" s="367"/>
      <c r="H290" s="360"/>
      <c r="I290" s="360"/>
      <c r="J290" s="316" t="s">
        <v>207</v>
      </c>
    </row>
    <row r="291" spans="2:10" ht="31.5" customHeight="1">
      <c r="B291" s="369">
        <v>282</v>
      </c>
      <c r="C291" s="356"/>
      <c r="D291" s="364"/>
      <c r="E291" s="365"/>
      <c r="F291" s="366"/>
      <c r="G291" s="367"/>
      <c r="H291" s="360"/>
      <c r="I291" s="360"/>
      <c r="J291" s="316" t="s">
        <v>208</v>
      </c>
    </row>
    <row r="292" spans="2:10" ht="31.5" customHeight="1">
      <c r="B292" s="369">
        <v>283</v>
      </c>
      <c r="C292" s="356"/>
      <c r="D292" s="364"/>
      <c r="E292" s="365"/>
      <c r="F292" s="366"/>
      <c r="G292" s="367"/>
      <c r="H292" s="360"/>
      <c r="I292" s="360"/>
    </row>
    <row r="293" spans="2:10" ht="31.5" customHeight="1">
      <c r="B293" s="369">
        <v>284</v>
      </c>
      <c r="C293" s="356"/>
      <c r="D293" s="364"/>
      <c r="E293" s="365"/>
      <c r="F293" s="366"/>
      <c r="G293" s="367"/>
      <c r="H293" s="360"/>
      <c r="I293" s="360"/>
    </row>
    <row r="294" spans="2:10" ht="31.5" customHeight="1">
      <c r="B294" s="369">
        <v>285</v>
      </c>
      <c r="C294" s="356"/>
      <c r="D294" s="364"/>
      <c r="E294" s="379"/>
      <c r="F294" s="379"/>
      <c r="G294" s="380"/>
      <c r="H294" s="381"/>
      <c r="I294" s="360"/>
    </row>
    <row r="295" spans="2:10" ht="31.5" customHeight="1">
      <c r="B295" s="369">
        <v>286</v>
      </c>
      <c r="C295" s="356"/>
      <c r="D295" s="364"/>
      <c r="E295" s="379"/>
      <c r="F295" s="379"/>
      <c r="G295" s="380"/>
      <c r="H295" s="381"/>
      <c r="I295" s="360"/>
    </row>
    <row r="296" spans="2:10" ht="31.5" customHeight="1">
      <c r="B296" s="369">
        <v>287</v>
      </c>
      <c r="C296" s="356"/>
      <c r="D296" s="364"/>
      <c r="E296" s="379"/>
      <c r="F296" s="379"/>
      <c r="G296" s="380"/>
      <c r="H296" s="381"/>
      <c r="I296" s="360"/>
    </row>
    <row r="297" spans="2:10" ht="31.5" customHeight="1">
      <c r="B297" s="369">
        <v>288</v>
      </c>
      <c r="C297" s="356"/>
      <c r="D297" s="364"/>
      <c r="E297" s="365"/>
      <c r="F297" s="366"/>
      <c r="G297" s="380"/>
      <c r="H297" s="360"/>
      <c r="I297" s="360"/>
    </row>
    <row r="298" spans="2:10" ht="31.5" customHeight="1">
      <c r="B298" s="369">
        <v>289</v>
      </c>
      <c r="C298" s="356"/>
      <c r="D298" s="364"/>
      <c r="E298" s="365"/>
      <c r="F298" s="366"/>
      <c r="G298" s="367"/>
      <c r="H298" s="360"/>
      <c r="I298" s="360"/>
    </row>
    <row r="299" spans="2:10" ht="31.5" customHeight="1">
      <c r="B299" s="369">
        <v>290</v>
      </c>
      <c r="C299" s="356"/>
      <c r="D299" s="364"/>
      <c r="E299" s="365"/>
      <c r="F299" s="366"/>
      <c r="G299" s="367"/>
      <c r="H299" s="360"/>
      <c r="I299" s="360"/>
    </row>
    <row r="300" spans="2:10" ht="31.5" customHeight="1">
      <c r="B300" s="369">
        <v>291</v>
      </c>
      <c r="C300" s="356"/>
      <c r="D300" s="364"/>
      <c r="E300" s="365"/>
      <c r="F300" s="366"/>
      <c r="G300" s="367"/>
      <c r="H300" s="360"/>
      <c r="I300" s="360"/>
    </row>
    <row r="301" spans="2:10" ht="31.5" customHeight="1">
      <c r="B301" s="369">
        <v>292</v>
      </c>
      <c r="C301" s="356"/>
      <c r="D301" s="364"/>
      <c r="E301" s="365"/>
      <c r="F301" s="366"/>
      <c r="G301" s="380"/>
      <c r="H301" s="360"/>
      <c r="I301" s="360"/>
    </row>
    <row r="302" spans="2:10" ht="31.5" customHeight="1">
      <c r="B302" s="369">
        <v>293</v>
      </c>
      <c r="C302" s="356"/>
      <c r="D302" s="364"/>
      <c r="E302" s="365"/>
      <c r="F302" s="366"/>
      <c r="G302" s="367"/>
      <c r="H302" s="360"/>
      <c r="I302" s="360"/>
    </row>
    <row r="303" spans="2:10" ht="31.5" customHeight="1">
      <c r="B303" s="369">
        <v>294</v>
      </c>
      <c r="C303" s="356"/>
      <c r="D303" s="364"/>
      <c r="E303" s="365"/>
      <c r="F303" s="366"/>
      <c r="G303" s="380"/>
      <c r="H303" s="360"/>
      <c r="I303" s="360"/>
    </row>
    <row r="304" spans="2:10" ht="31.5" customHeight="1">
      <c r="B304" s="369">
        <v>295</v>
      </c>
      <c r="C304" s="356"/>
      <c r="D304" s="364"/>
      <c r="E304" s="365"/>
      <c r="F304" s="366"/>
      <c r="G304" s="367"/>
      <c r="H304" s="360"/>
      <c r="I304" s="360"/>
    </row>
    <row r="305" spans="2:10" ht="31.5" customHeight="1">
      <c r="B305" s="369">
        <v>296</v>
      </c>
      <c r="C305" s="356"/>
      <c r="D305" s="364"/>
      <c r="E305" s="365"/>
      <c r="F305" s="366"/>
      <c r="G305" s="367"/>
      <c r="H305" s="360"/>
      <c r="I305" s="360"/>
    </row>
    <row r="306" spans="2:10" ht="31.5" customHeight="1">
      <c r="B306" s="369">
        <v>297</v>
      </c>
      <c r="C306" s="356"/>
      <c r="D306" s="364"/>
      <c r="E306" s="365"/>
      <c r="F306" s="366"/>
      <c r="G306" s="367"/>
      <c r="H306" s="360"/>
      <c r="I306" s="360"/>
      <c r="J306" s="316" t="s">
        <v>209</v>
      </c>
    </row>
    <row r="307" spans="2:10" ht="31.5" customHeight="1">
      <c r="B307" s="369">
        <v>298</v>
      </c>
      <c r="C307" s="356"/>
      <c r="D307" s="364"/>
      <c r="E307" s="365"/>
      <c r="F307" s="366"/>
      <c r="G307" s="367"/>
      <c r="H307" s="382"/>
      <c r="I307" s="360"/>
    </row>
    <row r="308" spans="2:10" ht="31.5" customHeight="1">
      <c r="B308" s="369">
        <v>299</v>
      </c>
      <c r="C308" s="356"/>
      <c r="D308" s="364"/>
      <c r="E308" s="365"/>
      <c r="F308" s="366"/>
      <c r="G308" s="367"/>
      <c r="H308" s="360"/>
      <c r="I308" s="360"/>
    </row>
    <row r="309" spans="2:10" ht="31.5" customHeight="1">
      <c r="B309" s="369">
        <v>300</v>
      </c>
      <c r="C309" s="356"/>
      <c r="D309" s="364"/>
      <c r="E309" s="365"/>
      <c r="F309" s="366"/>
      <c r="G309" s="367"/>
      <c r="H309" s="360"/>
      <c r="I309" s="360"/>
    </row>
    <row r="310" spans="2:10" ht="31.5" customHeight="1">
      <c r="B310" s="369">
        <v>301</v>
      </c>
      <c r="C310" s="356"/>
      <c r="D310" s="364"/>
      <c r="E310" s="365"/>
      <c r="F310" s="366"/>
      <c r="G310" s="367"/>
      <c r="H310" s="360"/>
      <c r="I310" s="360"/>
    </row>
    <row r="311" spans="2:10" ht="31.5" customHeight="1">
      <c r="B311" s="369">
        <v>302</v>
      </c>
      <c r="C311" s="356"/>
      <c r="D311" s="364"/>
      <c r="E311" s="365"/>
      <c r="F311" s="366"/>
      <c r="G311" s="367"/>
      <c r="H311" s="360"/>
      <c r="I311" s="360"/>
    </row>
    <row r="312" spans="2:10" ht="31.5" customHeight="1">
      <c r="B312" s="369">
        <v>303</v>
      </c>
      <c r="C312" s="356"/>
      <c r="D312" s="364"/>
      <c r="E312" s="365"/>
      <c r="F312" s="366"/>
      <c r="G312" s="367"/>
      <c r="H312" s="360"/>
      <c r="I312" s="360"/>
    </row>
    <row r="313" spans="2:10" ht="31.5" customHeight="1">
      <c r="B313" s="369">
        <v>304</v>
      </c>
      <c r="C313" s="356"/>
      <c r="D313" s="364"/>
      <c r="E313" s="365"/>
      <c r="F313" s="366"/>
      <c r="G313" s="367"/>
      <c r="H313" s="360"/>
      <c r="I313" s="360"/>
    </row>
    <row r="314" spans="2:10" ht="31.5" customHeight="1">
      <c r="B314" s="369">
        <v>305</v>
      </c>
      <c r="C314" s="356"/>
      <c r="D314" s="364"/>
      <c r="E314" s="365"/>
      <c r="F314" s="366"/>
      <c r="G314" s="367"/>
      <c r="H314" s="360"/>
      <c r="I314" s="360"/>
    </row>
    <row r="315" spans="2:10" ht="31.5" customHeight="1">
      <c r="B315" s="369">
        <f>B314+1</f>
        <v>306</v>
      </c>
      <c r="C315" s="356"/>
      <c r="D315" s="364"/>
      <c r="E315" s="365"/>
      <c r="F315" s="366"/>
      <c r="G315" s="367"/>
      <c r="H315" s="360"/>
      <c r="I315" s="360"/>
    </row>
    <row r="316" spans="2:10" ht="31.5" customHeight="1">
      <c r="B316" s="369">
        <f>B315+1</f>
        <v>307</v>
      </c>
      <c r="C316" s="356"/>
      <c r="D316" s="364"/>
      <c r="E316" s="365"/>
      <c r="F316" s="366"/>
      <c r="G316" s="367"/>
      <c r="H316" s="360"/>
      <c r="I316" s="360"/>
    </row>
    <row r="317" spans="2:10" ht="31.5" customHeight="1">
      <c r="B317" s="369">
        <f>B316+1</f>
        <v>308</v>
      </c>
      <c r="C317" s="356"/>
      <c r="D317" s="364"/>
      <c r="E317" s="365"/>
      <c r="F317" s="366"/>
      <c r="G317" s="367"/>
      <c r="H317" s="360"/>
      <c r="I317" s="360"/>
    </row>
    <row r="318" spans="2:10" ht="31.5" customHeight="1">
      <c r="B318" s="369">
        <f>B317+1</f>
        <v>309</v>
      </c>
      <c r="C318" s="356"/>
      <c r="D318" s="364"/>
      <c r="E318" s="365"/>
      <c r="F318" s="366"/>
      <c r="G318" s="367"/>
      <c r="H318" s="360"/>
      <c r="I318" s="360"/>
    </row>
    <row r="319" spans="2:10" ht="31.5" customHeight="1">
      <c r="B319" s="369">
        <f>B318+1</f>
        <v>310</v>
      </c>
      <c r="C319" s="356"/>
      <c r="D319" s="364"/>
      <c r="E319" s="365"/>
      <c r="F319" s="366"/>
      <c r="G319" s="367"/>
      <c r="H319" s="360"/>
      <c r="I319" s="360"/>
    </row>
    <row r="320" spans="2:10" ht="31.5" customHeight="1">
      <c r="B320" s="369">
        <v>311</v>
      </c>
      <c r="C320" s="356"/>
      <c r="D320" s="364"/>
      <c r="E320" s="365"/>
      <c r="F320" s="366"/>
      <c r="G320" s="367"/>
      <c r="H320" s="360"/>
      <c r="I320" s="360"/>
    </row>
    <row r="321" spans="2:9" ht="31.5" customHeight="1">
      <c r="B321" s="369">
        <v>312</v>
      </c>
      <c r="C321" s="356"/>
      <c r="D321" s="364"/>
      <c r="E321" s="365"/>
      <c r="F321" s="366"/>
      <c r="G321" s="367"/>
      <c r="H321" s="360"/>
      <c r="I321" s="360"/>
    </row>
    <row r="322" spans="2:9" ht="31.5" customHeight="1">
      <c r="B322" s="369">
        <v>313</v>
      </c>
      <c r="C322" s="356"/>
      <c r="D322" s="364"/>
      <c r="E322" s="365"/>
      <c r="F322" s="366"/>
      <c r="G322" s="367"/>
      <c r="H322" s="360"/>
      <c r="I322" s="360"/>
    </row>
    <row r="323" spans="2:9" ht="31.5" customHeight="1">
      <c r="B323" s="369">
        <v>314</v>
      </c>
      <c r="C323" s="356"/>
      <c r="D323" s="364"/>
      <c r="E323" s="365"/>
      <c r="F323" s="366"/>
      <c r="G323" s="367"/>
      <c r="H323" s="360"/>
      <c r="I323" s="360"/>
    </row>
    <row r="324" spans="2:9" ht="31.5" customHeight="1">
      <c r="B324" s="369">
        <v>315</v>
      </c>
      <c r="C324" s="383"/>
      <c r="D324" s="364"/>
      <c r="E324" s="365"/>
      <c r="F324" s="366"/>
      <c r="G324" s="367"/>
      <c r="H324" s="360"/>
      <c r="I324" s="360"/>
    </row>
    <row r="325" spans="2:9" ht="31.5" customHeight="1">
      <c r="B325" s="369">
        <v>316</v>
      </c>
      <c r="C325" s="383"/>
      <c r="D325" s="364"/>
      <c r="E325" s="365"/>
      <c r="F325" s="366"/>
      <c r="G325" s="367"/>
      <c r="H325" s="360"/>
      <c r="I325" s="360"/>
    </row>
    <row r="326" spans="2:9" ht="31.5" customHeight="1">
      <c r="B326" s="369">
        <v>317</v>
      </c>
      <c r="C326" s="383"/>
      <c r="D326" s="364"/>
      <c r="E326" s="365"/>
      <c r="F326" s="366"/>
      <c r="G326" s="367"/>
      <c r="H326" s="360"/>
      <c r="I326" s="360"/>
    </row>
    <row r="327" spans="2:9" ht="31.5" customHeight="1">
      <c r="B327" s="369">
        <v>318</v>
      </c>
      <c r="C327" s="383"/>
      <c r="D327" s="364"/>
      <c r="E327" s="365"/>
      <c r="F327" s="366"/>
      <c r="G327" s="367"/>
      <c r="H327" s="360"/>
      <c r="I327" s="360"/>
    </row>
    <row r="328" spans="2:9" ht="31.5" customHeight="1">
      <c r="B328" s="369">
        <v>319</v>
      </c>
      <c r="C328" s="383"/>
      <c r="D328" s="384"/>
      <c r="E328" s="365"/>
      <c r="F328" s="366"/>
      <c r="G328" s="367"/>
      <c r="H328" s="360"/>
      <c r="I328" s="360"/>
    </row>
    <row r="329" spans="2:9" ht="31.5" customHeight="1">
      <c r="B329" s="369">
        <v>320</v>
      </c>
      <c r="C329" s="383"/>
      <c r="D329" s="364"/>
      <c r="E329" s="365"/>
      <c r="F329" s="366"/>
      <c r="G329" s="367"/>
      <c r="H329" s="360"/>
      <c r="I329" s="360"/>
    </row>
    <row r="330" spans="2:9" ht="31.5" customHeight="1">
      <c r="B330" s="369">
        <v>321</v>
      </c>
      <c r="C330" s="383"/>
      <c r="D330" s="364"/>
      <c r="E330" s="365"/>
      <c r="F330" s="366"/>
      <c r="G330" s="367"/>
      <c r="H330" s="360"/>
      <c r="I330" s="360"/>
    </row>
    <row r="331" spans="2:9" ht="31.5" customHeight="1">
      <c r="B331" s="369">
        <v>322</v>
      </c>
      <c r="C331" s="383"/>
      <c r="D331" s="364"/>
      <c r="E331" s="365"/>
      <c r="F331" s="366"/>
      <c r="G331" s="367"/>
      <c r="H331" s="360"/>
      <c r="I331" s="360"/>
    </row>
    <row r="332" spans="2:9" ht="31.5" customHeight="1">
      <c r="B332" s="369">
        <v>322</v>
      </c>
      <c r="C332" s="383"/>
      <c r="D332" s="364"/>
      <c r="E332" s="365"/>
      <c r="F332" s="366"/>
      <c r="G332" s="367"/>
      <c r="H332" s="360"/>
      <c r="I332" s="360"/>
    </row>
    <row r="333" spans="2:9" ht="31.5" customHeight="1">
      <c r="B333" s="369">
        <v>322</v>
      </c>
      <c r="C333" s="383"/>
      <c r="D333" s="364"/>
      <c r="E333" s="365"/>
      <c r="F333" s="366"/>
      <c r="G333" s="367"/>
      <c r="H333" s="360"/>
      <c r="I333" s="360"/>
    </row>
    <row r="334" spans="2:9" ht="31.5" customHeight="1">
      <c r="B334" s="369"/>
      <c r="C334" s="356"/>
      <c r="D334" s="364"/>
      <c r="E334" s="365"/>
      <c r="F334" s="366"/>
      <c r="G334" s="367"/>
      <c r="H334" s="360"/>
      <c r="I334" s="360"/>
    </row>
    <row r="335" spans="2:9" ht="31.5" customHeight="1">
      <c r="B335" s="369"/>
      <c r="C335" s="356"/>
      <c r="D335" s="364"/>
      <c r="E335" s="365"/>
      <c r="F335" s="366"/>
      <c r="G335" s="367"/>
      <c r="H335" s="360"/>
      <c r="I335" s="360"/>
    </row>
    <row r="336" spans="2:9" ht="31.5" customHeight="1">
      <c r="B336" s="369"/>
      <c r="C336" s="356"/>
      <c r="D336" s="364"/>
      <c r="E336" s="365"/>
      <c r="F336" s="366"/>
      <c r="G336" s="367"/>
      <c r="H336" s="360"/>
      <c r="I336" s="360"/>
    </row>
    <row r="337" spans="2:9" ht="31.5" customHeight="1">
      <c r="B337" s="369"/>
      <c r="C337" s="356"/>
      <c r="D337" s="364"/>
      <c r="E337" s="365"/>
      <c r="F337" s="366"/>
      <c r="G337" s="367"/>
      <c r="H337" s="360"/>
      <c r="I337" s="360"/>
    </row>
    <row r="338" spans="2:9" ht="31.5" customHeight="1">
      <c r="B338" s="369"/>
      <c r="C338" s="356"/>
      <c r="D338" s="364"/>
      <c r="E338" s="365"/>
      <c r="F338" s="366"/>
      <c r="G338" s="367"/>
      <c r="H338" s="360"/>
      <c r="I338" s="360"/>
    </row>
    <row r="339" spans="2:9" ht="31.5" customHeight="1">
      <c r="B339" s="369"/>
      <c r="C339" s="356"/>
      <c r="D339" s="364"/>
      <c r="E339" s="365"/>
      <c r="F339" s="366"/>
      <c r="G339" s="367"/>
      <c r="H339" s="360"/>
      <c r="I339" s="360"/>
    </row>
    <row r="340" spans="2:9" ht="31.5" customHeight="1">
      <c r="B340" s="369"/>
      <c r="C340" s="356"/>
      <c r="D340" s="364"/>
      <c r="E340" s="365"/>
      <c r="F340" s="366"/>
      <c r="G340" s="367"/>
      <c r="H340" s="360"/>
      <c r="I340" s="360"/>
    </row>
    <row r="341" spans="2:9" ht="31.5" customHeight="1">
      <c r="B341" s="369"/>
      <c r="C341" s="356"/>
      <c r="D341" s="364"/>
      <c r="E341" s="365"/>
      <c r="F341" s="366"/>
      <c r="G341" s="367"/>
      <c r="H341" s="360"/>
      <c r="I341" s="360"/>
    </row>
    <row r="342" spans="2:9" ht="31.5" customHeight="1">
      <c r="B342" s="369"/>
      <c r="C342" s="356"/>
      <c r="D342" s="364"/>
      <c r="E342" s="365"/>
      <c r="F342" s="366"/>
      <c r="G342" s="367"/>
      <c r="H342" s="360"/>
      <c r="I342" s="360"/>
    </row>
    <row r="343" spans="2:9" ht="31.5" customHeight="1">
      <c r="B343" s="369"/>
      <c r="C343" s="356"/>
      <c r="D343" s="364"/>
      <c r="E343" s="365"/>
      <c r="F343" s="366"/>
      <c r="G343" s="367"/>
      <c r="H343" s="360"/>
      <c r="I343" s="360"/>
    </row>
    <row r="344" spans="2:9" ht="31.5" customHeight="1">
      <c r="B344" s="369"/>
      <c r="C344" s="356"/>
      <c r="D344" s="364"/>
      <c r="E344" s="365"/>
      <c r="F344" s="366"/>
      <c r="G344" s="367"/>
      <c r="H344" s="360"/>
      <c r="I344" s="360"/>
    </row>
    <row r="345" spans="2:9" ht="31.5" customHeight="1">
      <c r="B345" s="369"/>
      <c r="C345" s="356"/>
      <c r="D345" s="364"/>
      <c r="E345" s="365"/>
      <c r="F345" s="366"/>
      <c r="G345" s="367"/>
      <c r="H345" s="360"/>
      <c r="I345" s="360"/>
    </row>
    <row r="346" spans="2:9" ht="31.5" customHeight="1">
      <c r="B346" s="369"/>
      <c r="C346" s="356"/>
      <c r="D346" s="364"/>
      <c r="E346" s="365"/>
      <c r="F346" s="366"/>
      <c r="G346" s="367"/>
      <c r="H346" s="360"/>
      <c r="I346" s="360"/>
    </row>
    <row r="347" spans="2:9" ht="31.5" customHeight="1">
      <c r="B347" s="369"/>
      <c r="C347" s="356"/>
      <c r="D347" s="364"/>
      <c r="E347" s="365"/>
      <c r="F347" s="366"/>
      <c r="G347" s="367"/>
      <c r="H347" s="360"/>
      <c r="I347" s="360"/>
    </row>
    <row r="348" spans="2:9" ht="31.5" customHeight="1">
      <c r="B348" s="369"/>
      <c r="C348" s="356"/>
      <c r="D348" s="364"/>
      <c r="E348" s="365"/>
      <c r="F348" s="366"/>
      <c r="G348" s="367"/>
      <c r="H348" s="360"/>
      <c r="I348" s="360"/>
    </row>
    <row r="349" spans="2:9" ht="31.5" customHeight="1">
      <c r="B349" s="369"/>
      <c r="C349" s="356"/>
      <c r="D349" s="364"/>
      <c r="E349" s="365"/>
      <c r="F349" s="366"/>
      <c r="G349" s="367"/>
      <c r="H349" s="360"/>
      <c r="I349" s="360"/>
    </row>
    <row r="350" spans="2:9" ht="31.5" customHeight="1">
      <c r="B350" s="369"/>
      <c r="C350" s="356"/>
      <c r="D350" s="364"/>
      <c r="E350" s="365"/>
      <c r="F350" s="366"/>
      <c r="G350" s="367"/>
      <c r="H350" s="360"/>
      <c r="I350" s="360"/>
    </row>
    <row r="351" spans="2:9" ht="31.5" customHeight="1">
      <c r="B351" s="369"/>
      <c r="C351" s="356"/>
      <c r="D351" s="364"/>
      <c r="E351" s="365"/>
      <c r="F351" s="366"/>
      <c r="G351" s="367"/>
      <c r="H351" s="360"/>
      <c r="I351" s="360"/>
    </row>
    <row r="352" spans="2:9" ht="31.5" customHeight="1">
      <c r="B352" s="369"/>
      <c r="C352" s="356"/>
      <c r="D352" s="364"/>
      <c r="E352" s="365"/>
      <c r="F352" s="366"/>
      <c r="G352" s="367"/>
      <c r="H352" s="360"/>
      <c r="I352" s="360"/>
    </row>
    <row r="353" spans="2:9" ht="31.5" customHeight="1">
      <c r="B353" s="369"/>
      <c r="C353" s="356"/>
      <c r="D353" s="364"/>
      <c r="E353" s="365"/>
      <c r="F353" s="366"/>
      <c r="G353" s="367"/>
      <c r="H353" s="360"/>
      <c r="I353" s="360"/>
    </row>
    <row r="354" spans="2:9" ht="31.5" customHeight="1">
      <c r="B354" s="369"/>
      <c r="C354" s="356"/>
      <c r="D354" s="364"/>
      <c r="E354" s="365"/>
      <c r="F354" s="366"/>
      <c r="G354" s="367"/>
      <c r="H354" s="360"/>
      <c r="I354" s="360"/>
    </row>
    <row r="355" spans="2:9" ht="31.5" customHeight="1">
      <c r="B355" s="369"/>
      <c r="C355" s="356"/>
      <c r="D355" s="364"/>
      <c r="E355" s="365"/>
      <c r="F355" s="366"/>
      <c r="G355" s="367"/>
      <c r="H355" s="360"/>
      <c r="I355" s="360"/>
    </row>
    <row r="356" spans="2:9" ht="31.5" customHeight="1">
      <c r="B356" s="369"/>
      <c r="C356" s="356"/>
      <c r="D356" s="364"/>
      <c r="E356" s="365"/>
      <c r="F356" s="366"/>
      <c r="G356" s="367"/>
      <c r="H356" s="360"/>
      <c r="I356" s="360"/>
    </row>
    <row r="357" spans="2:9" ht="31.5" customHeight="1">
      <c r="B357" s="369"/>
      <c r="C357" s="356"/>
      <c r="D357" s="364"/>
      <c r="E357" s="365"/>
      <c r="F357" s="366"/>
      <c r="G357" s="367"/>
      <c r="H357" s="360"/>
      <c r="I357" s="360"/>
    </row>
    <row r="358" spans="2:9" ht="31.5" customHeight="1">
      <c r="B358" s="369"/>
      <c r="C358" s="356"/>
      <c r="D358" s="364"/>
      <c r="E358" s="365"/>
      <c r="F358" s="366"/>
      <c r="G358" s="367"/>
      <c r="H358" s="360"/>
      <c r="I358" s="360"/>
    </row>
    <row r="359" spans="2:9" ht="31.5" customHeight="1">
      <c r="B359" s="369"/>
      <c r="C359" s="356"/>
      <c r="D359" s="364"/>
      <c r="E359" s="365"/>
      <c r="F359" s="366"/>
      <c r="G359" s="367"/>
      <c r="H359" s="360"/>
      <c r="I359" s="360"/>
    </row>
    <row r="360" spans="2:9" ht="31.5" customHeight="1">
      <c r="B360" s="369"/>
      <c r="C360" s="356"/>
      <c r="D360" s="364"/>
      <c r="E360" s="365"/>
      <c r="F360" s="366"/>
      <c r="G360" s="367"/>
      <c r="H360" s="360"/>
      <c r="I360" s="360"/>
    </row>
    <row r="361" spans="2:9" ht="31.5" customHeight="1">
      <c r="B361" s="369"/>
      <c r="C361" s="356"/>
      <c r="D361" s="364"/>
      <c r="E361" s="365"/>
      <c r="F361" s="366"/>
      <c r="G361" s="367"/>
      <c r="H361" s="360"/>
      <c r="I361" s="360"/>
    </row>
    <row r="362" spans="2:9" ht="31.5" customHeight="1">
      <c r="B362" s="369"/>
      <c r="C362" s="356"/>
      <c r="D362" s="364"/>
      <c r="E362" s="365"/>
      <c r="F362" s="366"/>
      <c r="G362" s="367"/>
      <c r="H362" s="360"/>
      <c r="I362" s="360"/>
    </row>
    <row r="363" spans="2:9" ht="31.5" customHeight="1">
      <c r="B363" s="369"/>
      <c r="C363" s="356"/>
      <c r="D363" s="364"/>
      <c r="E363" s="365"/>
      <c r="F363" s="366"/>
      <c r="G363" s="367"/>
      <c r="H363" s="360"/>
      <c r="I363" s="360"/>
    </row>
    <row r="364" spans="2:9" ht="31.5" customHeight="1">
      <c r="B364" s="369"/>
      <c r="C364" s="356"/>
      <c r="D364" s="364"/>
      <c r="E364" s="365"/>
      <c r="F364" s="366"/>
      <c r="G364" s="367"/>
      <c r="H364" s="360"/>
      <c r="I364" s="360"/>
    </row>
    <row r="365" spans="2:9" ht="31.5" customHeight="1">
      <c r="B365" s="369"/>
      <c r="C365" s="356"/>
      <c r="D365" s="364"/>
      <c r="E365" s="365"/>
      <c r="F365" s="366"/>
      <c r="G365" s="367"/>
      <c r="H365" s="360"/>
      <c r="I365" s="360"/>
    </row>
    <row r="366" spans="2:9" ht="31.5" customHeight="1">
      <c r="B366" s="369"/>
      <c r="C366" s="356"/>
      <c r="D366" s="364"/>
      <c r="E366" s="365"/>
      <c r="F366" s="366"/>
      <c r="G366" s="367"/>
      <c r="H366" s="360"/>
      <c r="I366" s="360"/>
    </row>
    <row r="367" spans="2:9" ht="31.5" customHeight="1">
      <c r="B367" s="369"/>
      <c r="C367" s="356"/>
      <c r="D367" s="364"/>
      <c r="E367" s="365"/>
      <c r="F367" s="366"/>
      <c r="G367" s="367"/>
      <c r="H367" s="360"/>
      <c r="I367" s="360"/>
    </row>
    <row r="368" spans="2:9" ht="31.5" customHeight="1">
      <c r="B368" s="369"/>
      <c r="C368" s="356"/>
      <c r="D368" s="364"/>
      <c r="E368" s="365"/>
      <c r="F368" s="366"/>
      <c r="G368" s="367"/>
      <c r="H368" s="360"/>
      <c r="I368" s="360"/>
    </row>
    <row r="369" spans="2:9" ht="31.5" customHeight="1">
      <c r="B369" s="369"/>
      <c r="C369" s="356"/>
      <c r="D369" s="364"/>
      <c r="E369" s="365"/>
      <c r="F369" s="366"/>
      <c r="G369" s="367"/>
      <c r="H369" s="360"/>
      <c r="I369" s="360"/>
    </row>
    <row r="370" spans="2:9" ht="31.5" customHeight="1">
      <c r="B370" s="369"/>
      <c r="C370" s="356"/>
      <c r="D370" s="364"/>
      <c r="E370" s="365"/>
      <c r="F370" s="366"/>
      <c r="G370" s="367"/>
      <c r="H370" s="360"/>
      <c r="I370" s="360"/>
    </row>
    <row r="371" spans="2:9" ht="31.5" customHeight="1">
      <c r="B371" s="369"/>
      <c r="C371" s="356"/>
      <c r="D371" s="364"/>
      <c r="E371" s="365"/>
      <c r="F371" s="366"/>
      <c r="G371" s="367"/>
      <c r="H371" s="360"/>
      <c r="I371" s="360"/>
    </row>
    <row r="372" spans="2:9" ht="31.5" customHeight="1">
      <c r="B372" s="369"/>
      <c r="C372" s="356"/>
      <c r="D372" s="364"/>
      <c r="E372" s="365"/>
      <c r="F372" s="366"/>
      <c r="G372" s="367"/>
      <c r="H372" s="360"/>
      <c r="I372" s="360"/>
    </row>
    <row r="373" spans="2:9" ht="31.5" customHeight="1">
      <c r="B373" s="369"/>
      <c r="C373" s="356"/>
      <c r="D373" s="364"/>
      <c r="E373" s="365"/>
      <c r="F373" s="366"/>
      <c r="G373" s="367"/>
      <c r="H373" s="360"/>
      <c r="I373" s="360"/>
    </row>
    <row r="374" spans="2:9" ht="31.5" customHeight="1">
      <c r="B374" s="369"/>
      <c r="C374" s="356"/>
      <c r="D374" s="364"/>
      <c r="E374" s="365"/>
      <c r="F374" s="366"/>
      <c r="G374" s="367"/>
      <c r="H374" s="360"/>
      <c r="I374" s="360"/>
    </row>
    <row r="375" spans="2:9" ht="31.5" customHeight="1">
      <c r="B375" s="369"/>
      <c r="C375" s="356"/>
      <c r="D375" s="364"/>
      <c r="E375" s="365"/>
      <c r="F375" s="366"/>
      <c r="G375" s="367"/>
      <c r="H375" s="360"/>
      <c r="I375" s="360"/>
    </row>
    <row r="376" spans="2:9" ht="31.5" customHeight="1">
      <c r="B376" s="369"/>
      <c r="C376" s="356"/>
      <c r="D376" s="364"/>
      <c r="E376" s="365"/>
      <c r="F376" s="366"/>
      <c r="G376" s="367"/>
      <c r="H376" s="360"/>
      <c r="I376" s="360"/>
    </row>
    <row r="377" spans="2:9" ht="31.5" customHeight="1">
      <c r="B377" s="369"/>
      <c r="C377" s="356"/>
      <c r="D377" s="364"/>
      <c r="E377" s="365"/>
      <c r="F377" s="366"/>
      <c r="G377" s="367"/>
      <c r="H377" s="360"/>
      <c r="I377" s="360"/>
    </row>
    <row r="378" spans="2:9" ht="31.5" customHeight="1">
      <c r="B378" s="369"/>
      <c r="C378" s="356"/>
      <c r="D378" s="364"/>
      <c r="E378" s="365"/>
      <c r="F378" s="366"/>
      <c r="G378" s="367"/>
      <c r="H378" s="360"/>
      <c r="I378" s="360"/>
    </row>
    <row r="379" spans="2:9" ht="31.5" customHeight="1">
      <c r="B379" s="369"/>
      <c r="C379" s="356"/>
      <c r="D379" s="364"/>
      <c r="E379" s="365"/>
      <c r="F379" s="366"/>
      <c r="G379" s="367"/>
      <c r="H379" s="360"/>
      <c r="I379" s="360"/>
    </row>
    <row r="380" spans="2:9" ht="31.5" customHeight="1">
      <c r="B380" s="369"/>
      <c r="C380" s="356"/>
      <c r="D380" s="364"/>
      <c r="E380" s="365"/>
      <c r="F380" s="366"/>
      <c r="G380" s="367"/>
      <c r="H380" s="360"/>
      <c r="I380" s="360"/>
    </row>
    <row r="381" spans="2:9" ht="31.5" customHeight="1">
      <c r="B381" s="369"/>
      <c r="C381" s="356"/>
      <c r="D381" s="364"/>
      <c r="E381" s="365"/>
      <c r="F381" s="366"/>
      <c r="G381" s="367"/>
      <c r="H381" s="360"/>
      <c r="I381" s="360"/>
    </row>
    <row r="382" spans="2:9" ht="31.5" customHeight="1">
      <c r="B382" s="369"/>
      <c r="C382" s="356"/>
      <c r="D382" s="364"/>
      <c r="E382" s="365"/>
      <c r="F382" s="366"/>
      <c r="G382" s="367"/>
      <c r="H382" s="360"/>
      <c r="I382" s="360"/>
    </row>
    <row r="383" spans="2:9" ht="31.5" customHeight="1">
      <c r="B383" s="369"/>
      <c r="C383" s="356"/>
      <c r="D383" s="364"/>
      <c r="E383" s="365"/>
      <c r="F383" s="366"/>
      <c r="G383" s="367"/>
      <c r="H383" s="360"/>
      <c r="I383" s="360"/>
    </row>
    <row r="384" spans="2:9" ht="31.5" customHeight="1">
      <c r="B384" s="369"/>
      <c r="C384" s="356"/>
      <c r="D384" s="364"/>
      <c r="E384" s="365"/>
      <c r="F384" s="366"/>
      <c r="G384" s="367"/>
      <c r="H384" s="360"/>
      <c r="I384" s="360"/>
    </row>
    <row r="385" spans="2:9" ht="31.5" customHeight="1">
      <c r="B385" s="369"/>
      <c r="C385" s="356"/>
      <c r="D385" s="364"/>
      <c r="E385" s="365"/>
      <c r="F385" s="366"/>
      <c r="G385" s="367"/>
      <c r="H385" s="360"/>
      <c r="I385" s="360"/>
    </row>
    <row r="386" spans="2:9" ht="31.5" customHeight="1">
      <c r="B386" s="369"/>
      <c r="C386" s="356"/>
      <c r="D386" s="364"/>
      <c r="E386" s="365"/>
      <c r="F386" s="366"/>
      <c r="G386" s="367"/>
      <c r="H386" s="360"/>
      <c r="I386" s="360"/>
    </row>
    <row r="387" spans="2:9" ht="31.5" customHeight="1">
      <c r="B387" s="369"/>
      <c r="C387" s="356"/>
      <c r="D387" s="364"/>
      <c r="E387" s="365"/>
      <c r="F387" s="366"/>
      <c r="G387" s="367"/>
      <c r="H387" s="360"/>
      <c r="I387" s="360"/>
    </row>
    <row r="388" spans="2:9" ht="31.5" customHeight="1">
      <c r="B388" s="369"/>
      <c r="C388" s="356"/>
      <c r="D388" s="364"/>
      <c r="E388" s="365"/>
      <c r="F388" s="366"/>
      <c r="G388" s="367"/>
      <c r="H388" s="360"/>
      <c r="I388" s="360"/>
    </row>
    <row r="389" spans="2:9" ht="31.5" customHeight="1">
      <c r="B389" s="369"/>
      <c r="C389" s="356"/>
      <c r="D389" s="364"/>
      <c r="E389" s="365"/>
      <c r="F389" s="366"/>
      <c r="G389" s="367"/>
      <c r="H389" s="360"/>
      <c r="I389" s="360"/>
    </row>
    <row r="390" spans="2:9" ht="31.5" customHeight="1">
      <c r="B390" s="369"/>
      <c r="C390" s="356"/>
      <c r="D390" s="364"/>
      <c r="E390" s="365"/>
      <c r="F390" s="366"/>
      <c r="G390" s="367"/>
      <c r="H390" s="360"/>
      <c r="I390" s="360"/>
    </row>
    <row r="391" spans="2:9" ht="31.5" customHeight="1">
      <c r="B391" s="369"/>
      <c r="C391" s="356"/>
      <c r="D391" s="364"/>
      <c r="E391" s="365"/>
      <c r="F391" s="366"/>
      <c r="G391" s="367"/>
      <c r="H391" s="360"/>
      <c r="I391" s="360"/>
    </row>
    <row r="392" spans="2:9" ht="31.5" customHeight="1">
      <c r="B392" s="369"/>
      <c r="C392" s="356"/>
      <c r="D392" s="364"/>
      <c r="E392" s="365"/>
      <c r="F392" s="366"/>
      <c r="G392" s="367"/>
      <c r="H392" s="360"/>
      <c r="I392" s="360"/>
    </row>
    <row r="393" spans="2:9" ht="31.5" customHeight="1">
      <c r="B393" s="369"/>
      <c r="C393" s="356"/>
      <c r="D393" s="364"/>
      <c r="E393" s="365"/>
      <c r="F393" s="366"/>
      <c r="G393" s="367"/>
      <c r="H393" s="360"/>
      <c r="I393" s="360"/>
    </row>
    <row r="394" spans="2:9" ht="31.5" customHeight="1">
      <c r="B394" s="369"/>
      <c r="C394" s="356"/>
      <c r="D394" s="364"/>
      <c r="E394" s="365"/>
      <c r="F394" s="366"/>
      <c r="G394" s="367"/>
      <c r="H394" s="360"/>
      <c r="I394" s="360"/>
    </row>
    <row r="395" spans="2:9" ht="31.5" customHeight="1">
      <c r="B395" s="369"/>
      <c r="C395" s="356"/>
      <c r="D395" s="364"/>
      <c r="E395" s="365"/>
      <c r="F395" s="366"/>
      <c r="G395" s="367"/>
      <c r="H395" s="360"/>
      <c r="I395" s="360"/>
    </row>
    <row r="396" spans="2:9" ht="31.5" customHeight="1">
      <c r="B396" s="369"/>
      <c r="C396" s="356"/>
      <c r="D396" s="364"/>
      <c r="E396" s="365"/>
      <c r="F396" s="366"/>
      <c r="G396" s="367"/>
      <c r="H396" s="360"/>
      <c r="I396" s="360"/>
    </row>
    <row r="397" spans="2:9" ht="31.5" customHeight="1">
      <c r="B397" s="369"/>
      <c r="C397" s="356"/>
      <c r="D397" s="364"/>
      <c r="E397" s="365"/>
      <c r="F397" s="366"/>
      <c r="G397" s="367"/>
      <c r="H397" s="360"/>
      <c r="I397" s="360"/>
    </row>
    <row r="398" spans="2:9" ht="31.5" customHeight="1">
      <c r="B398" s="369"/>
      <c r="C398" s="356"/>
      <c r="D398" s="364"/>
      <c r="E398" s="365"/>
      <c r="F398" s="366"/>
      <c r="G398" s="367"/>
      <c r="H398" s="360"/>
      <c r="I398" s="360"/>
    </row>
    <row r="399" spans="2:9" ht="31.5" customHeight="1">
      <c r="B399" s="369"/>
      <c r="C399" s="356"/>
      <c r="D399" s="364"/>
      <c r="E399" s="365"/>
      <c r="F399" s="366"/>
      <c r="G399" s="367"/>
      <c r="H399" s="360"/>
      <c r="I399" s="360"/>
    </row>
    <row r="400" spans="2:9" ht="31.5" customHeight="1">
      <c r="B400" s="369"/>
      <c r="C400" s="356"/>
      <c r="D400" s="364"/>
      <c r="E400" s="365"/>
      <c r="F400" s="366"/>
      <c r="G400" s="367"/>
      <c r="H400" s="360"/>
      <c r="I400" s="360"/>
    </row>
    <row r="401" spans="2:9" ht="31.5" customHeight="1">
      <c r="B401" s="369"/>
      <c r="C401" s="356"/>
      <c r="D401" s="364"/>
      <c r="E401" s="365"/>
      <c r="F401" s="366"/>
      <c r="G401" s="367"/>
      <c r="H401" s="360"/>
      <c r="I401" s="360"/>
    </row>
    <row r="402" spans="2:9" ht="31.5" customHeight="1">
      <c r="B402" s="369"/>
      <c r="C402" s="356"/>
      <c r="D402" s="364"/>
      <c r="E402" s="365"/>
      <c r="F402" s="366"/>
      <c r="G402" s="367"/>
      <c r="H402" s="360"/>
      <c r="I402" s="360"/>
    </row>
    <row r="403" spans="2:9" ht="31.5" customHeight="1">
      <c r="B403" s="369"/>
      <c r="C403" s="356"/>
      <c r="D403" s="364"/>
      <c r="E403" s="365"/>
      <c r="F403" s="366"/>
      <c r="G403" s="367"/>
      <c r="H403" s="360"/>
      <c r="I403" s="360"/>
    </row>
    <row r="404" spans="2:9" ht="31.5" customHeight="1">
      <c r="B404" s="369"/>
      <c r="C404" s="356"/>
      <c r="D404" s="364"/>
      <c r="E404" s="365"/>
      <c r="F404" s="366"/>
      <c r="G404" s="367"/>
      <c r="H404" s="360"/>
      <c r="I404" s="360"/>
    </row>
    <row r="405" spans="2:9" ht="31.5" customHeight="1">
      <c r="B405" s="369"/>
      <c r="C405" s="356"/>
      <c r="D405" s="364"/>
      <c r="E405" s="365"/>
      <c r="F405" s="366"/>
      <c r="G405" s="367"/>
      <c r="H405" s="360"/>
      <c r="I405" s="360"/>
    </row>
    <row r="406" spans="2:9" ht="31.5" customHeight="1">
      <c r="B406" s="369"/>
      <c r="C406" s="356"/>
      <c r="D406" s="364"/>
      <c r="E406" s="365"/>
      <c r="F406" s="366"/>
      <c r="G406" s="367"/>
      <c r="H406" s="360"/>
      <c r="I406" s="360"/>
    </row>
    <row r="407" spans="2:9" ht="31.5" customHeight="1">
      <c r="B407" s="369"/>
      <c r="C407" s="356"/>
      <c r="D407" s="364"/>
      <c r="E407" s="365"/>
      <c r="F407" s="366"/>
      <c r="G407" s="367"/>
      <c r="H407" s="360"/>
      <c r="I407" s="360"/>
    </row>
    <row r="408" spans="2:9" ht="31.5" customHeight="1">
      <c r="B408" s="369"/>
      <c r="C408" s="356"/>
      <c r="D408" s="364"/>
      <c r="E408" s="365"/>
      <c r="F408" s="366"/>
      <c r="G408" s="367"/>
      <c r="H408" s="360"/>
      <c r="I408" s="360"/>
    </row>
    <row r="409" spans="2:9" ht="31.5" customHeight="1">
      <c r="B409" s="369"/>
      <c r="C409" s="356"/>
      <c r="D409" s="364"/>
      <c r="E409" s="365"/>
      <c r="F409" s="366"/>
      <c r="G409" s="367"/>
      <c r="H409" s="360"/>
      <c r="I409" s="360"/>
    </row>
    <row r="410" spans="2:9" ht="31.5" customHeight="1">
      <c r="B410" s="369"/>
      <c r="C410" s="356"/>
      <c r="D410" s="364"/>
      <c r="E410" s="365"/>
      <c r="F410" s="366"/>
      <c r="G410" s="367"/>
      <c r="H410" s="360"/>
      <c r="I410" s="360"/>
    </row>
    <row r="411" spans="2:9" ht="31.5" customHeight="1">
      <c r="B411" s="369"/>
      <c r="C411" s="356"/>
      <c r="D411" s="364"/>
      <c r="E411" s="365"/>
      <c r="F411" s="366"/>
      <c r="G411" s="367"/>
      <c r="H411" s="360"/>
      <c r="I411" s="360"/>
    </row>
    <row r="412" spans="2:9" ht="31.5" customHeight="1">
      <c r="B412" s="369"/>
      <c r="C412" s="356"/>
      <c r="D412" s="364"/>
      <c r="E412" s="365"/>
      <c r="F412" s="366"/>
      <c r="G412" s="367"/>
      <c r="H412" s="360"/>
      <c r="I412" s="360"/>
    </row>
    <row r="413" spans="2:9" ht="31.5" customHeight="1">
      <c r="B413" s="369"/>
      <c r="C413" s="356"/>
      <c r="D413" s="364"/>
      <c r="E413" s="365"/>
      <c r="F413" s="366"/>
      <c r="G413" s="367"/>
      <c r="H413" s="360"/>
      <c r="I413" s="360"/>
    </row>
    <row r="414" spans="2:9" ht="31.5" customHeight="1">
      <c r="B414" s="369"/>
      <c r="C414" s="356"/>
      <c r="D414" s="364"/>
      <c r="E414" s="365"/>
      <c r="F414" s="366"/>
      <c r="G414" s="367"/>
      <c r="H414" s="360"/>
      <c r="I414" s="360"/>
    </row>
    <row r="415" spans="2:9" ht="31.5" customHeight="1">
      <c r="B415" s="369"/>
      <c r="C415" s="356"/>
      <c r="D415" s="364"/>
      <c r="E415" s="365"/>
      <c r="F415" s="366"/>
      <c r="G415" s="367"/>
      <c r="H415" s="360"/>
      <c r="I415" s="360"/>
    </row>
    <row r="416" spans="2:9" ht="31.5" customHeight="1">
      <c r="B416" s="369"/>
      <c r="C416" s="356"/>
      <c r="D416" s="364"/>
      <c r="E416" s="365"/>
      <c r="F416" s="366"/>
      <c r="G416" s="367"/>
      <c r="H416" s="360"/>
      <c r="I416" s="360"/>
    </row>
    <row r="417" spans="2:9" ht="31.5" customHeight="1">
      <c r="B417" s="369"/>
      <c r="C417" s="356"/>
      <c r="D417" s="364"/>
      <c r="E417" s="365"/>
      <c r="F417" s="366"/>
      <c r="G417" s="367"/>
      <c r="H417" s="360"/>
      <c r="I417" s="360"/>
    </row>
    <row r="418" spans="2:9" ht="31.5" customHeight="1">
      <c r="B418" s="369"/>
      <c r="C418" s="356"/>
      <c r="D418" s="364"/>
      <c r="E418" s="365"/>
      <c r="F418" s="366"/>
      <c r="G418" s="367"/>
      <c r="H418" s="360"/>
      <c r="I418" s="360"/>
    </row>
    <row r="419" spans="2:9" ht="31.5" customHeight="1">
      <c r="B419" s="369"/>
      <c r="C419" s="356"/>
      <c r="D419" s="364"/>
      <c r="E419" s="365"/>
      <c r="F419" s="366"/>
      <c r="G419" s="367"/>
      <c r="H419" s="360"/>
      <c r="I419" s="360"/>
    </row>
    <row r="420" spans="2:9" ht="31.5" customHeight="1">
      <c r="B420" s="369"/>
      <c r="C420" s="356"/>
      <c r="D420" s="364"/>
      <c r="E420" s="365"/>
      <c r="F420" s="366"/>
      <c r="G420" s="367"/>
      <c r="H420" s="360"/>
      <c r="I420" s="360"/>
    </row>
    <row r="421" spans="2:9" ht="31.5" customHeight="1">
      <c r="B421" s="369"/>
      <c r="C421" s="356"/>
      <c r="D421" s="364"/>
      <c r="E421" s="365"/>
      <c r="F421" s="366"/>
      <c r="G421" s="367"/>
      <c r="H421" s="360"/>
      <c r="I421" s="360"/>
    </row>
    <row r="422" spans="2:9" ht="31.5" customHeight="1">
      <c r="B422" s="369"/>
      <c r="C422" s="356"/>
      <c r="D422" s="364"/>
      <c r="E422" s="365"/>
      <c r="F422" s="366"/>
      <c r="G422" s="367"/>
      <c r="H422" s="360"/>
      <c r="I422" s="360"/>
    </row>
    <row r="423" spans="2:9" ht="31.5" customHeight="1">
      <c r="B423" s="369"/>
      <c r="C423" s="356"/>
      <c r="D423" s="364"/>
      <c r="E423" s="365"/>
      <c r="F423" s="366"/>
      <c r="G423" s="367"/>
      <c r="H423" s="360"/>
      <c r="I423" s="360"/>
    </row>
    <row r="424" spans="2:9" ht="31.5" customHeight="1">
      <c r="B424" s="369"/>
      <c r="C424" s="356"/>
      <c r="D424" s="364"/>
      <c r="E424" s="365"/>
      <c r="F424" s="366"/>
      <c r="G424" s="367"/>
      <c r="H424" s="360"/>
      <c r="I424" s="360"/>
    </row>
    <row r="425" spans="2:9" ht="31.5" customHeight="1">
      <c r="B425" s="369"/>
      <c r="C425" s="356"/>
      <c r="D425" s="364"/>
      <c r="E425" s="365"/>
      <c r="F425" s="366"/>
      <c r="G425" s="367"/>
      <c r="H425" s="360"/>
      <c r="I425" s="360"/>
    </row>
    <row r="426" spans="2:9" ht="31.5" customHeight="1">
      <c r="B426" s="369"/>
      <c r="C426" s="356"/>
      <c r="D426" s="364"/>
      <c r="E426" s="365"/>
      <c r="F426" s="366"/>
      <c r="G426" s="367"/>
      <c r="H426" s="360"/>
      <c r="I426" s="360"/>
    </row>
    <row r="427" spans="2:9" ht="31.5" customHeight="1">
      <c r="B427" s="369"/>
      <c r="C427" s="356"/>
      <c r="D427" s="364"/>
      <c r="E427" s="365"/>
      <c r="F427" s="366"/>
      <c r="G427" s="367"/>
      <c r="H427" s="360"/>
      <c r="I427" s="360"/>
    </row>
    <row r="428" spans="2:9" ht="31.5" customHeight="1">
      <c r="B428" s="369"/>
      <c r="C428" s="356"/>
      <c r="D428" s="364"/>
      <c r="E428" s="365"/>
      <c r="F428" s="366"/>
      <c r="G428" s="367"/>
      <c r="H428" s="360"/>
      <c r="I428" s="360"/>
    </row>
    <row r="429" spans="2:9" ht="31.5" customHeight="1">
      <c r="B429" s="369"/>
      <c r="C429" s="356"/>
      <c r="D429" s="364"/>
      <c r="E429" s="365"/>
      <c r="F429" s="366"/>
      <c r="G429" s="367"/>
      <c r="H429" s="360"/>
      <c r="I429" s="360"/>
    </row>
    <row r="430" spans="2:9" ht="31.5" customHeight="1">
      <c r="B430" s="369"/>
      <c r="C430" s="356"/>
      <c r="D430" s="364"/>
      <c r="E430" s="365"/>
      <c r="F430" s="366"/>
      <c r="G430" s="367"/>
      <c r="H430" s="360"/>
      <c r="I430" s="360"/>
    </row>
    <row r="431" spans="2:9" ht="31.5" customHeight="1">
      <c r="B431" s="369"/>
      <c r="C431" s="356"/>
      <c r="D431" s="364"/>
      <c r="E431" s="365"/>
      <c r="F431" s="366"/>
      <c r="G431" s="367"/>
      <c r="H431" s="360"/>
      <c r="I431" s="360"/>
    </row>
    <row r="432" spans="2:9" ht="31.5" customHeight="1">
      <c r="B432" s="369"/>
      <c r="C432" s="356"/>
      <c r="D432" s="364"/>
      <c r="E432" s="365"/>
      <c r="F432" s="366"/>
      <c r="G432" s="367"/>
      <c r="H432" s="360"/>
      <c r="I432" s="360"/>
    </row>
    <row r="433" spans="2:9" ht="31.5" customHeight="1">
      <c r="B433" s="369"/>
      <c r="C433" s="356"/>
      <c r="D433" s="364"/>
      <c r="E433" s="365"/>
      <c r="F433" s="366"/>
      <c r="G433" s="367"/>
      <c r="H433" s="360"/>
      <c r="I433" s="360"/>
    </row>
    <row r="434" spans="2:9" ht="31.5" customHeight="1">
      <c r="B434" s="369"/>
      <c r="C434" s="356"/>
      <c r="D434" s="364"/>
      <c r="E434" s="365"/>
      <c r="F434" s="366"/>
      <c r="G434" s="367"/>
      <c r="H434" s="360"/>
      <c r="I434" s="360"/>
    </row>
    <row r="435" spans="2:9" ht="31.5" customHeight="1">
      <c r="B435" s="369"/>
      <c r="C435" s="356"/>
      <c r="D435" s="364"/>
      <c r="E435" s="365"/>
      <c r="F435" s="366"/>
      <c r="G435" s="367"/>
      <c r="H435" s="360"/>
      <c r="I435" s="360"/>
    </row>
    <row r="436" spans="2:9" ht="31.5" customHeight="1">
      <c r="B436" s="369"/>
      <c r="C436" s="356"/>
      <c r="D436" s="364"/>
      <c r="E436" s="365"/>
      <c r="F436" s="366"/>
      <c r="G436" s="367"/>
      <c r="H436" s="360"/>
      <c r="I436" s="360"/>
    </row>
    <row r="437" spans="2:9" ht="31.5" customHeight="1">
      <c r="B437" s="369"/>
      <c r="C437" s="356"/>
      <c r="D437" s="364"/>
      <c r="E437" s="365"/>
      <c r="F437" s="366"/>
      <c r="G437" s="367"/>
      <c r="H437" s="360"/>
      <c r="I437" s="360"/>
    </row>
    <row r="438" spans="2:9" ht="31.5" customHeight="1">
      <c r="B438" s="369"/>
      <c r="C438" s="356"/>
      <c r="D438" s="364"/>
      <c r="E438" s="365"/>
      <c r="F438" s="366"/>
      <c r="G438" s="367"/>
      <c r="H438" s="360"/>
      <c r="I438" s="360"/>
    </row>
    <row r="439" spans="2:9" ht="31.5" customHeight="1">
      <c r="B439" s="369"/>
      <c r="C439" s="356"/>
      <c r="D439" s="364"/>
      <c r="E439" s="365"/>
      <c r="F439" s="366"/>
      <c r="G439" s="367"/>
      <c r="H439" s="360"/>
      <c r="I439" s="360"/>
    </row>
    <row r="440" spans="2:9" ht="31.5" customHeight="1">
      <c r="B440" s="369"/>
      <c r="C440" s="356"/>
      <c r="D440" s="364"/>
      <c r="E440" s="365"/>
      <c r="F440" s="366"/>
      <c r="G440" s="367"/>
      <c r="H440" s="360"/>
      <c r="I440" s="360"/>
    </row>
    <row r="441" spans="2:9" ht="31.5" customHeight="1">
      <c r="B441" s="369"/>
      <c r="C441" s="356"/>
      <c r="D441" s="364"/>
      <c r="E441" s="365"/>
      <c r="F441" s="366"/>
      <c r="G441" s="367"/>
      <c r="H441" s="360"/>
      <c r="I441" s="360"/>
    </row>
    <row r="442" spans="2:9" ht="31.5" customHeight="1">
      <c r="B442" s="369"/>
      <c r="C442" s="356"/>
      <c r="D442" s="364"/>
      <c r="E442" s="365"/>
      <c r="F442" s="366"/>
      <c r="G442" s="367"/>
      <c r="H442" s="360"/>
      <c r="I442" s="360"/>
    </row>
    <row r="443" spans="2:9" ht="31.5" customHeight="1">
      <c r="B443" s="369"/>
      <c r="C443" s="356"/>
      <c r="D443" s="364"/>
      <c r="E443" s="365"/>
      <c r="F443" s="366"/>
      <c r="G443" s="367"/>
      <c r="H443" s="360"/>
      <c r="I443" s="360"/>
    </row>
    <row r="444" spans="2:9" ht="31.5" customHeight="1">
      <c r="B444" s="369"/>
      <c r="C444" s="356"/>
      <c r="D444" s="364"/>
      <c r="E444" s="365"/>
      <c r="F444" s="366"/>
      <c r="G444" s="367"/>
      <c r="H444" s="360"/>
      <c r="I444" s="360"/>
    </row>
    <row r="445" spans="2:9" ht="31.5" customHeight="1">
      <c r="B445" s="369"/>
      <c r="C445" s="356"/>
      <c r="D445" s="364"/>
      <c r="E445" s="365"/>
      <c r="F445" s="366"/>
      <c r="G445" s="367"/>
      <c r="H445" s="360"/>
      <c r="I445" s="360"/>
    </row>
    <row r="446" spans="2:9" ht="31.5" customHeight="1">
      <c r="B446" s="369"/>
      <c r="C446" s="356"/>
      <c r="D446" s="364"/>
      <c r="E446" s="365"/>
      <c r="F446" s="366"/>
      <c r="G446" s="367"/>
      <c r="H446" s="360"/>
      <c r="I446" s="360"/>
    </row>
    <row r="447" spans="2:9" ht="31.5" customHeight="1">
      <c r="B447" s="369"/>
      <c r="C447" s="356"/>
      <c r="D447" s="364"/>
      <c r="E447" s="365"/>
      <c r="F447" s="366"/>
      <c r="G447" s="367"/>
      <c r="H447" s="360"/>
      <c r="I447" s="360"/>
    </row>
    <row r="448" spans="2:9" ht="31.5" customHeight="1">
      <c r="B448" s="369"/>
      <c r="C448" s="356"/>
      <c r="D448" s="364"/>
      <c r="E448" s="365"/>
      <c r="F448" s="366"/>
      <c r="G448" s="367"/>
      <c r="H448" s="360"/>
      <c r="I448" s="360"/>
    </row>
    <row r="449" spans="2:9" ht="31.5" customHeight="1">
      <c r="B449" s="369"/>
      <c r="C449" s="356"/>
      <c r="D449" s="364"/>
      <c r="E449" s="365"/>
      <c r="F449" s="366"/>
      <c r="G449" s="367"/>
      <c r="H449" s="360"/>
      <c r="I449" s="360"/>
    </row>
    <row r="450" spans="2:9" ht="31.5" customHeight="1">
      <c r="B450" s="369"/>
      <c r="C450" s="356"/>
      <c r="D450" s="364"/>
      <c r="E450" s="365"/>
      <c r="F450" s="366"/>
      <c r="G450" s="367"/>
      <c r="H450" s="360"/>
      <c r="I450" s="360"/>
    </row>
    <row r="451" spans="2:9" ht="31.5" customHeight="1">
      <c r="B451" s="369"/>
      <c r="C451" s="356"/>
      <c r="D451" s="364"/>
      <c r="E451" s="365"/>
      <c r="F451" s="366"/>
      <c r="G451" s="367"/>
      <c r="H451" s="360"/>
      <c r="I451" s="360"/>
    </row>
    <row r="452" spans="2:9" ht="31.5" customHeight="1">
      <c r="B452" s="369"/>
      <c r="C452" s="356"/>
      <c r="D452" s="364"/>
      <c r="E452" s="365"/>
      <c r="F452" s="366"/>
      <c r="G452" s="367"/>
      <c r="H452" s="360"/>
      <c r="I452" s="360"/>
    </row>
    <row r="453" spans="2:9" ht="31.5" customHeight="1">
      <c r="B453" s="369"/>
      <c r="C453" s="356"/>
      <c r="D453" s="364"/>
      <c r="E453" s="365"/>
      <c r="F453" s="366"/>
      <c r="G453" s="367"/>
      <c r="H453" s="360"/>
      <c r="I453" s="360"/>
    </row>
    <row r="454" spans="2:9" ht="31.5" customHeight="1">
      <c r="B454" s="369"/>
      <c r="C454" s="356"/>
      <c r="D454" s="364"/>
      <c r="E454" s="365"/>
      <c r="F454" s="366"/>
      <c r="G454" s="367"/>
      <c r="H454" s="360"/>
      <c r="I454" s="360"/>
    </row>
    <row r="455" spans="2:9" ht="31.5" customHeight="1">
      <c r="B455" s="369"/>
      <c r="C455" s="356"/>
      <c r="D455" s="364"/>
      <c r="E455" s="365"/>
      <c r="F455" s="366"/>
      <c r="G455" s="367"/>
      <c r="H455" s="360"/>
      <c r="I455" s="360"/>
    </row>
    <row r="456" spans="2:9" ht="31.5" customHeight="1">
      <c r="B456" s="369"/>
      <c r="C456" s="356"/>
      <c r="D456" s="364"/>
      <c r="E456" s="365"/>
      <c r="F456" s="366"/>
      <c r="G456" s="367"/>
      <c r="H456" s="360"/>
      <c r="I456" s="360"/>
    </row>
    <row r="457" spans="2:9" ht="31.5" customHeight="1">
      <c r="B457" s="369"/>
      <c r="C457" s="356"/>
      <c r="D457" s="364"/>
      <c r="E457" s="365"/>
      <c r="F457" s="366"/>
      <c r="G457" s="367"/>
      <c r="H457" s="360"/>
      <c r="I457" s="360"/>
    </row>
    <row r="458" spans="2:9" ht="31.5" customHeight="1">
      <c r="B458" s="369"/>
      <c r="C458" s="356"/>
      <c r="D458" s="364"/>
      <c r="E458" s="365"/>
      <c r="F458" s="366"/>
      <c r="G458" s="367"/>
      <c r="H458" s="360"/>
      <c r="I458" s="360"/>
    </row>
    <row r="459" spans="2:9" ht="31.5" customHeight="1">
      <c r="B459" s="369"/>
      <c r="C459" s="356"/>
      <c r="D459" s="364"/>
      <c r="E459" s="365"/>
      <c r="F459" s="366"/>
      <c r="G459" s="367"/>
      <c r="H459" s="360"/>
      <c r="I459" s="360"/>
    </row>
    <row r="460" spans="2:9" ht="31.5" customHeight="1">
      <c r="B460" s="369"/>
      <c r="C460" s="356"/>
      <c r="D460" s="364"/>
      <c r="E460" s="365"/>
      <c r="F460" s="366"/>
      <c r="G460" s="367"/>
      <c r="H460" s="360"/>
      <c r="I460" s="360"/>
    </row>
    <row r="461" spans="2:9" ht="31.5" customHeight="1">
      <c r="B461" s="369"/>
      <c r="C461" s="356"/>
      <c r="D461" s="364"/>
      <c r="E461" s="365"/>
      <c r="F461" s="366"/>
      <c r="G461" s="367"/>
      <c r="H461" s="360"/>
      <c r="I461" s="360"/>
    </row>
    <row r="462" spans="2:9" ht="31.5" customHeight="1">
      <c r="B462" s="369"/>
      <c r="C462" s="356"/>
      <c r="D462" s="364"/>
      <c r="E462" s="365"/>
      <c r="F462" s="366"/>
      <c r="G462" s="367"/>
      <c r="H462" s="360"/>
      <c r="I462" s="360"/>
    </row>
    <row r="463" spans="2:9" ht="31.5" customHeight="1">
      <c r="B463" s="369"/>
      <c r="C463" s="356"/>
      <c r="D463" s="364"/>
      <c r="E463" s="365"/>
      <c r="F463" s="366"/>
      <c r="G463" s="367"/>
      <c r="H463" s="360"/>
      <c r="I463" s="360"/>
    </row>
    <row r="464" spans="2:9" ht="31.5" customHeight="1">
      <c r="B464" s="369"/>
      <c r="C464" s="356"/>
      <c r="D464" s="364"/>
      <c r="E464" s="365"/>
      <c r="F464" s="366"/>
      <c r="G464" s="367"/>
      <c r="H464" s="360"/>
      <c r="I464" s="360"/>
    </row>
    <row r="465" spans="2:9" ht="31.5" customHeight="1">
      <c r="B465" s="369"/>
      <c r="C465" s="356"/>
      <c r="D465" s="364"/>
      <c r="E465" s="365"/>
      <c r="F465" s="366"/>
      <c r="G465" s="367"/>
      <c r="H465" s="360"/>
      <c r="I465" s="360"/>
    </row>
    <row r="466" spans="2:9" ht="31.5" customHeight="1">
      <c r="B466" s="369"/>
      <c r="C466" s="356"/>
      <c r="D466" s="364"/>
      <c r="E466" s="365"/>
      <c r="F466" s="366"/>
      <c r="G466" s="367"/>
      <c r="H466" s="360"/>
      <c r="I466" s="360"/>
    </row>
    <row r="467" spans="2:9" ht="31.5" customHeight="1">
      <c r="B467" s="369"/>
      <c r="C467" s="356"/>
      <c r="D467" s="364"/>
      <c r="E467" s="365"/>
      <c r="F467" s="366"/>
      <c r="G467" s="367"/>
      <c r="H467" s="360"/>
      <c r="I467" s="360"/>
    </row>
    <row r="468" spans="2:9" ht="31.5" customHeight="1">
      <c r="B468" s="369"/>
      <c r="C468" s="356"/>
      <c r="D468" s="364"/>
      <c r="E468" s="365"/>
      <c r="F468" s="366"/>
      <c r="G468" s="367"/>
      <c r="H468" s="360"/>
      <c r="I468" s="360"/>
    </row>
    <row r="469" spans="2:9" ht="31.5" customHeight="1">
      <c r="B469" s="369"/>
      <c r="C469" s="356"/>
      <c r="D469" s="364"/>
      <c r="E469" s="365"/>
      <c r="F469" s="366"/>
      <c r="G469" s="367"/>
      <c r="H469" s="360"/>
      <c r="I469" s="360"/>
    </row>
    <row r="470" spans="2:9" ht="31.5" customHeight="1">
      <c r="B470" s="369"/>
      <c r="C470" s="356"/>
      <c r="D470" s="364"/>
      <c r="E470" s="365"/>
      <c r="F470" s="366"/>
      <c r="G470" s="367"/>
      <c r="H470" s="360"/>
      <c r="I470" s="360"/>
    </row>
    <row r="471" spans="2:9" ht="31.5" customHeight="1">
      <c r="B471" s="369"/>
      <c r="C471" s="356"/>
      <c r="D471" s="364"/>
      <c r="E471" s="365"/>
      <c r="F471" s="366"/>
      <c r="G471" s="367"/>
      <c r="H471" s="360"/>
      <c r="I471" s="360"/>
    </row>
    <row r="472" spans="2:9" ht="31.5" customHeight="1">
      <c r="B472" s="369"/>
      <c r="C472" s="356"/>
      <c r="D472" s="364"/>
      <c r="E472" s="365"/>
      <c r="F472" s="366"/>
      <c r="G472" s="367"/>
      <c r="H472" s="360"/>
      <c r="I472" s="360"/>
    </row>
    <row r="473" spans="2:9" ht="31.5" customHeight="1">
      <c r="B473" s="369"/>
      <c r="C473" s="356"/>
      <c r="D473" s="364"/>
      <c r="E473" s="365"/>
      <c r="F473" s="366"/>
      <c r="G473" s="367"/>
      <c r="H473" s="360"/>
      <c r="I473" s="360"/>
    </row>
    <row r="474" spans="2:9" ht="31.5" customHeight="1">
      <c r="B474" s="369"/>
      <c r="C474" s="356"/>
      <c r="D474" s="364"/>
      <c r="E474" s="365"/>
      <c r="F474" s="366"/>
      <c r="G474" s="367"/>
      <c r="H474" s="360"/>
      <c r="I474" s="360"/>
    </row>
    <row r="475" spans="2:9" ht="31.5" customHeight="1">
      <c r="B475" s="369"/>
      <c r="C475" s="356"/>
      <c r="D475" s="364"/>
      <c r="E475" s="365"/>
      <c r="F475" s="366"/>
      <c r="G475" s="367"/>
      <c r="H475" s="360"/>
      <c r="I475" s="360"/>
    </row>
    <row r="476" spans="2:9" ht="31.5" customHeight="1">
      <c r="B476" s="369"/>
      <c r="C476" s="356"/>
      <c r="D476" s="364"/>
      <c r="E476" s="365"/>
      <c r="F476" s="366"/>
      <c r="G476" s="367"/>
      <c r="H476" s="360"/>
      <c r="I476" s="360"/>
    </row>
    <row r="477" spans="2:9" ht="31.5" customHeight="1">
      <c r="B477" s="369"/>
      <c r="C477" s="356"/>
      <c r="D477" s="364"/>
      <c r="E477" s="365"/>
      <c r="F477" s="366"/>
      <c r="G477" s="367"/>
      <c r="H477" s="360"/>
      <c r="I477" s="360"/>
    </row>
    <row r="478" spans="2:9" ht="31.5" customHeight="1">
      <c r="B478" s="369"/>
      <c r="C478" s="356"/>
      <c r="D478" s="364"/>
      <c r="E478" s="365"/>
      <c r="F478" s="366"/>
      <c r="G478" s="367"/>
      <c r="H478" s="360"/>
      <c r="I478" s="360"/>
    </row>
    <row r="479" spans="2:9" ht="31.5" customHeight="1">
      <c r="B479" s="369"/>
      <c r="C479" s="356"/>
      <c r="D479" s="364"/>
      <c r="E479" s="365"/>
      <c r="F479" s="366"/>
      <c r="G479" s="367"/>
      <c r="H479" s="360"/>
      <c r="I479" s="360"/>
    </row>
    <row r="480" spans="2:9" ht="31.5" customHeight="1">
      <c r="B480" s="369"/>
      <c r="C480" s="356"/>
      <c r="D480" s="364"/>
      <c r="E480" s="365"/>
      <c r="F480" s="366"/>
      <c r="G480" s="367"/>
      <c r="H480" s="360"/>
      <c r="I480" s="360"/>
    </row>
    <row r="481" spans="2:9" ht="31.5" customHeight="1">
      <c r="B481" s="369"/>
      <c r="C481" s="356"/>
      <c r="D481" s="364"/>
      <c r="E481" s="365"/>
      <c r="F481" s="366"/>
      <c r="G481" s="367"/>
      <c r="H481" s="360"/>
      <c r="I481" s="360"/>
    </row>
    <row r="482" spans="2:9" ht="31.5" customHeight="1">
      <c r="B482" s="369"/>
      <c r="C482" s="356"/>
      <c r="D482" s="364"/>
      <c r="E482" s="365"/>
      <c r="F482" s="366"/>
      <c r="G482" s="367"/>
      <c r="H482" s="360"/>
      <c r="I482" s="360"/>
    </row>
    <row r="483" spans="2:9" ht="31.5" customHeight="1">
      <c r="B483" s="369"/>
      <c r="C483" s="356"/>
      <c r="D483" s="364"/>
      <c r="E483" s="365"/>
      <c r="F483" s="366"/>
      <c r="G483" s="367"/>
      <c r="H483" s="360"/>
      <c r="I483" s="360"/>
    </row>
    <row r="484" spans="2:9" ht="31.5" customHeight="1">
      <c r="B484" s="369"/>
      <c r="C484" s="356"/>
      <c r="D484" s="364"/>
      <c r="E484" s="365"/>
      <c r="F484" s="366"/>
      <c r="G484" s="367"/>
      <c r="H484" s="360"/>
      <c r="I484" s="360"/>
    </row>
    <row r="485" spans="2:9" ht="31.5" customHeight="1">
      <c r="B485" s="369"/>
      <c r="C485" s="356"/>
      <c r="D485" s="364"/>
      <c r="E485" s="365"/>
      <c r="F485" s="366"/>
      <c r="G485" s="367"/>
      <c r="H485" s="360"/>
      <c r="I485" s="360"/>
    </row>
    <row r="486" spans="2:9" ht="31.5" customHeight="1">
      <c r="B486" s="369"/>
      <c r="C486" s="356"/>
      <c r="D486" s="364"/>
      <c r="E486" s="365"/>
      <c r="F486" s="366"/>
      <c r="G486" s="367"/>
      <c r="H486" s="360"/>
      <c r="I486" s="360"/>
    </row>
    <row r="487" spans="2:9" ht="31.5" customHeight="1">
      <c r="B487" s="369"/>
      <c r="C487" s="356"/>
      <c r="D487" s="364"/>
      <c r="E487" s="365"/>
      <c r="F487" s="366"/>
      <c r="G487" s="367"/>
      <c r="H487" s="360"/>
      <c r="I487" s="360"/>
    </row>
    <row r="488" spans="2:9" ht="31.5" customHeight="1">
      <c r="B488" s="369"/>
      <c r="C488" s="356"/>
      <c r="D488" s="364"/>
      <c r="E488" s="365"/>
      <c r="F488" s="366"/>
      <c r="G488" s="367"/>
      <c r="H488" s="360"/>
      <c r="I488" s="360"/>
    </row>
    <row r="489" spans="2:9" ht="31.5" customHeight="1">
      <c r="B489" s="369"/>
      <c r="C489" s="356"/>
      <c r="D489" s="364"/>
      <c r="E489" s="365"/>
      <c r="F489" s="366"/>
      <c r="G489" s="367"/>
      <c r="H489" s="360"/>
      <c r="I489" s="360"/>
    </row>
    <row r="490" spans="2:9" ht="31.5" customHeight="1">
      <c r="B490" s="369"/>
      <c r="C490" s="356"/>
      <c r="D490" s="364"/>
      <c r="E490" s="365"/>
      <c r="F490" s="366"/>
      <c r="G490" s="367"/>
      <c r="H490" s="360"/>
      <c r="I490" s="360"/>
    </row>
    <row r="491" spans="2:9" ht="31.5" customHeight="1">
      <c r="B491" s="369"/>
      <c r="C491" s="356"/>
      <c r="D491" s="364"/>
      <c r="E491" s="365"/>
      <c r="F491" s="366"/>
      <c r="G491" s="367"/>
      <c r="H491" s="360"/>
      <c r="I491" s="360"/>
    </row>
    <row r="492" spans="2:9" ht="31.5" customHeight="1">
      <c r="B492" s="369"/>
      <c r="C492" s="356"/>
      <c r="D492" s="364"/>
      <c r="E492" s="365"/>
      <c r="F492" s="366"/>
      <c r="G492" s="367"/>
      <c r="H492" s="360"/>
      <c r="I492" s="360"/>
    </row>
    <row r="493" spans="2:9" ht="31.5" customHeight="1">
      <c r="B493" s="369"/>
      <c r="C493" s="356"/>
      <c r="D493" s="364"/>
      <c r="E493" s="365"/>
      <c r="F493" s="366"/>
      <c r="G493" s="367"/>
      <c r="H493" s="360"/>
      <c r="I493" s="360"/>
    </row>
    <row r="494" spans="2:9" ht="31.5" customHeight="1">
      <c r="B494" s="369"/>
      <c r="C494" s="356"/>
      <c r="D494" s="364"/>
      <c r="E494" s="365"/>
      <c r="F494" s="366"/>
      <c r="G494" s="367"/>
      <c r="H494" s="360"/>
      <c r="I494" s="360"/>
    </row>
    <row r="495" spans="2:9" ht="31.5" customHeight="1">
      <c r="B495" s="369"/>
      <c r="C495" s="356"/>
      <c r="D495" s="364"/>
      <c r="E495" s="365"/>
      <c r="F495" s="366"/>
      <c r="G495" s="367"/>
      <c r="H495" s="360"/>
      <c r="I495" s="360"/>
    </row>
    <row r="496" spans="2:9" ht="31.5" customHeight="1">
      <c r="B496" s="369"/>
      <c r="C496" s="356"/>
      <c r="D496" s="364"/>
      <c r="E496" s="365"/>
      <c r="F496" s="366"/>
      <c r="G496" s="367"/>
      <c r="H496" s="360"/>
      <c r="I496" s="360"/>
    </row>
    <row r="497" spans="2:9" ht="31.5" customHeight="1">
      <c r="B497" s="369"/>
      <c r="C497" s="356"/>
      <c r="D497" s="364"/>
      <c r="E497" s="365"/>
      <c r="F497" s="366"/>
      <c r="G497" s="367"/>
      <c r="H497" s="360"/>
      <c r="I497" s="360"/>
    </row>
    <row r="498" spans="2:9" ht="31.5" customHeight="1">
      <c r="B498" s="369"/>
      <c r="C498" s="356"/>
      <c r="D498" s="364"/>
      <c r="E498" s="365"/>
      <c r="F498" s="366"/>
      <c r="G498" s="367"/>
      <c r="H498" s="360"/>
      <c r="I498" s="360"/>
    </row>
    <row r="499" spans="2:9" ht="31.5" customHeight="1">
      <c r="B499" s="369"/>
      <c r="C499" s="356"/>
      <c r="D499" s="364"/>
      <c r="E499" s="365"/>
      <c r="F499" s="366"/>
      <c r="G499" s="367"/>
      <c r="H499" s="360"/>
      <c r="I499" s="360"/>
    </row>
    <row r="500" spans="2:9" ht="31.5" customHeight="1">
      <c r="B500" s="369"/>
      <c r="C500" s="356"/>
      <c r="D500" s="364"/>
      <c r="E500" s="365"/>
      <c r="F500" s="366"/>
      <c r="G500" s="367"/>
      <c r="H500" s="360"/>
      <c r="I500" s="360"/>
    </row>
    <row r="501" spans="2:9" ht="31.5" customHeight="1">
      <c r="B501" s="369"/>
      <c r="C501" s="356"/>
      <c r="D501" s="364"/>
      <c r="E501" s="365"/>
      <c r="F501" s="366"/>
      <c r="G501" s="367"/>
      <c r="H501" s="360"/>
      <c r="I501" s="360"/>
    </row>
    <row r="502" spans="2:9" ht="31.5" customHeight="1">
      <c r="B502" s="369"/>
      <c r="C502" s="356"/>
      <c r="D502" s="364"/>
      <c r="E502" s="365"/>
      <c r="F502" s="366"/>
      <c r="G502" s="367"/>
      <c r="H502" s="360"/>
      <c r="I502" s="360"/>
    </row>
    <row r="503" spans="2:9" ht="31.5" customHeight="1">
      <c r="B503" s="369"/>
      <c r="C503" s="356"/>
      <c r="D503" s="364"/>
      <c r="E503" s="365"/>
      <c r="F503" s="366"/>
      <c r="G503" s="367"/>
      <c r="H503" s="360"/>
      <c r="I503" s="360"/>
    </row>
    <row r="504" spans="2:9" ht="31.5" customHeight="1">
      <c r="B504" s="369"/>
      <c r="C504" s="356"/>
      <c r="D504" s="364"/>
      <c r="E504" s="365"/>
      <c r="F504" s="366"/>
      <c r="G504" s="367"/>
      <c r="H504" s="360"/>
      <c r="I504" s="360"/>
    </row>
    <row r="505" spans="2:9" ht="31.5" customHeight="1">
      <c r="B505" s="369"/>
      <c r="C505" s="356"/>
      <c r="D505" s="364"/>
      <c r="E505" s="365"/>
      <c r="F505" s="366"/>
      <c r="G505" s="367"/>
      <c r="H505" s="360"/>
      <c r="I505" s="360"/>
    </row>
    <row r="506" spans="2:9" ht="31.5" customHeight="1">
      <c r="B506" s="369"/>
      <c r="C506" s="356"/>
      <c r="D506" s="364"/>
      <c r="E506" s="365"/>
      <c r="F506" s="366"/>
      <c r="G506" s="367"/>
      <c r="H506" s="360"/>
      <c r="I506" s="360"/>
    </row>
    <row r="507" spans="2:9" ht="31.5" customHeight="1">
      <c r="B507" s="369"/>
      <c r="C507" s="356"/>
      <c r="D507" s="364"/>
      <c r="E507" s="365"/>
      <c r="F507" s="366"/>
      <c r="G507" s="367"/>
      <c r="H507" s="360"/>
      <c r="I507" s="360"/>
    </row>
    <row r="508" spans="2:9" ht="31.5" customHeight="1">
      <c r="B508" s="369"/>
      <c r="C508" s="356"/>
      <c r="D508" s="364"/>
      <c r="E508" s="365"/>
      <c r="F508" s="366"/>
      <c r="G508" s="367"/>
      <c r="H508" s="360"/>
      <c r="I508" s="360"/>
    </row>
    <row r="509" spans="2:9" ht="31.5" customHeight="1">
      <c r="B509" s="369"/>
      <c r="C509" s="356"/>
      <c r="D509" s="364"/>
      <c r="E509" s="365"/>
      <c r="F509" s="366"/>
      <c r="G509" s="367"/>
      <c r="H509" s="360"/>
      <c r="I509" s="360"/>
    </row>
    <row r="510" spans="2:9" ht="31.5" customHeight="1">
      <c r="B510" s="369"/>
      <c r="C510" s="356"/>
      <c r="D510" s="364"/>
      <c r="E510" s="365"/>
      <c r="F510" s="366"/>
      <c r="G510" s="367"/>
      <c r="H510" s="360"/>
      <c r="I510" s="360"/>
    </row>
    <row r="511" spans="2:9" ht="31.5" customHeight="1">
      <c r="B511" s="369"/>
      <c r="C511" s="356"/>
      <c r="D511" s="364"/>
      <c r="E511" s="365"/>
      <c r="F511" s="366"/>
      <c r="G511" s="367"/>
      <c r="H511" s="360"/>
      <c r="I511" s="360"/>
    </row>
    <row r="512" spans="2:9" ht="31.5" customHeight="1">
      <c r="B512" s="369"/>
      <c r="C512" s="356"/>
      <c r="D512" s="364"/>
      <c r="E512" s="365"/>
      <c r="F512" s="366"/>
      <c r="G512" s="367"/>
      <c r="H512" s="360"/>
      <c r="I512" s="360"/>
    </row>
    <row r="513" spans="2:9" ht="31.5" customHeight="1">
      <c r="B513" s="369"/>
      <c r="C513" s="356"/>
      <c r="D513" s="364"/>
      <c r="E513" s="365"/>
      <c r="F513" s="366"/>
      <c r="G513" s="367"/>
      <c r="H513" s="360"/>
      <c r="I513" s="360"/>
    </row>
    <row r="514" spans="2:9" ht="31.5" customHeight="1">
      <c r="B514" s="369"/>
      <c r="C514" s="356"/>
      <c r="D514" s="364"/>
      <c r="E514" s="365"/>
      <c r="F514" s="366"/>
      <c r="G514" s="367"/>
      <c r="H514" s="360"/>
      <c r="I514" s="360"/>
    </row>
    <row r="515" spans="2:9" ht="31.5" customHeight="1">
      <c r="B515" s="369"/>
      <c r="C515" s="356"/>
      <c r="D515" s="364"/>
      <c r="E515" s="365"/>
      <c r="F515" s="366"/>
      <c r="G515" s="367"/>
      <c r="H515" s="360"/>
      <c r="I515" s="360"/>
    </row>
    <row r="516" spans="2:9" ht="31.5" customHeight="1">
      <c r="B516" s="369"/>
      <c r="C516" s="356"/>
      <c r="D516" s="364"/>
      <c r="E516" s="365"/>
      <c r="F516" s="366"/>
      <c r="G516" s="367"/>
      <c r="H516" s="360"/>
      <c r="I516" s="360"/>
    </row>
    <row r="517" spans="2:9" ht="31.5" customHeight="1">
      <c r="B517" s="369"/>
      <c r="C517" s="356"/>
      <c r="D517" s="364"/>
      <c r="E517" s="365"/>
      <c r="F517" s="366"/>
      <c r="G517" s="367"/>
      <c r="H517" s="360"/>
      <c r="I517" s="360"/>
    </row>
    <row r="518" spans="2:9" ht="31.5" customHeight="1">
      <c r="B518" s="369"/>
      <c r="C518" s="356"/>
      <c r="D518" s="364"/>
      <c r="E518" s="365"/>
      <c r="F518" s="366"/>
      <c r="G518" s="367"/>
      <c r="H518" s="360"/>
      <c r="I518" s="360"/>
    </row>
    <row r="519" spans="2:9" ht="31.5" customHeight="1">
      <c r="B519" s="369"/>
      <c r="C519" s="356"/>
      <c r="D519" s="364"/>
      <c r="E519" s="365"/>
      <c r="F519" s="366"/>
      <c r="G519" s="367"/>
      <c r="H519" s="360"/>
      <c r="I519" s="360"/>
    </row>
    <row r="520" spans="2:9" ht="31.5" customHeight="1">
      <c r="B520" s="369"/>
      <c r="C520" s="356"/>
      <c r="D520" s="364"/>
      <c r="E520" s="365"/>
      <c r="F520" s="366"/>
      <c r="G520" s="367"/>
      <c r="H520" s="360"/>
      <c r="I520" s="360"/>
    </row>
    <row r="521" spans="2:9" ht="31.5" customHeight="1">
      <c r="B521" s="369"/>
      <c r="C521" s="356"/>
      <c r="D521" s="364"/>
      <c r="E521" s="365"/>
      <c r="F521" s="366"/>
      <c r="G521" s="367"/>
      <c r="H521" s="360"/>
      <c r="I521" s="360"/>
    </row>
    <row r="522" spans="2:9" ht="31.5" customHeight="1">
      <c r="B522" s="369"/>
      <c r="C522" s="356"/>
      <c r="D522" s="364"/>
      <c r="E522" s="365"/>
      <c r="F522" s="366"/>
      <c r="G522" s="367"/>
      <c r="H522" s="360"/>
      <c r="I522" s="360"/>
    </row>
    <row r="523" spans="2:9" ht="31.5" customHeight="1">
      <c r="B523" s="369"/>
      <c r="C523" s="356"/>
      <c r="D523" s="364"/>
      <c r="E523" s="365"/>
      <c r="F523" s="366"/>
      <c r="G523" s="367"/>
      <c r="H523" s="360"/>
      <c r="I523" s="360"/>
    </row>
    <row r="524" spans="2:9" ht="31.5" customHeight="1">
      <c r="B524" s="369"/>
      <c r="C524" s="356"/>
      <c r="D524" s="364"/>
      <c r="E524" s="365"/>
      <c r="F524" s="366"/>
      <c r="G524" s="367"/>
      <c r="H524" s="360"/>
      <c r="I524" s="360"/>
    </row>
    <row r="525" spans="2:9" ht="31.5" customHeight="1">
      <c r="B525" s="369"/>
      <c r="C525" s="356"/>
      <c r="D525" s="364"/>
      <c r="E525" s="365"/>
      <c r="F525" s="366"/>
      <c r="G525" s="367"/>
      <c r="H525" s="360"/>
      <c r="I525" s="360"/>
    </row>
    <row r="526" spans="2:9" ht="31.5" customHeight="1">
      <c r="B526" s="369"/>
      <c r="C526" s="356"/>
      <c r="D526" s="364"/>
      <c r="E526" s="365"/>
      <c r="F526" s="366"/>
      <c r="G526" s="367"/>
      <c r="H526" s="360"/>
      <c r="I526" s="360"/>
    </row>
    <row r="527" spans="2:9" ht="31.5" customHeight="1">
      <c r="B527" s="369"/>
      <c r="C527" s="356"/>
      <c r="D527" s="364"/>
      <c r="E527" s="365"/>
      <c r="F527" s="366"/>
      <c r="G527" s="367"/>
      <c r="H527" s="360"/>
      <c r="I527" s="360"/>
    </row>
    <row r="528" spans="2:9" ht="31.5" customHeight="1">
      <c r="B528" s="369"/>
      <c r="C528" s="356"/>
      <c r="D528" s="364"/>
      <c r="E528" s="365"/>
      <c r="F528" s="366"/>
      <c r="G528" s="367"/>
      <c r="H528" s="360"/>
      <c r="I528" s="360"/>
    </row>
    <row r="529" spans="2:9" ht="31.5" customHeight="1">
      <c r="B529" s="369"/>
      <c r="C529" s="356"/>
      <c r="D529" s="364"/>
      <c r="E529" s="365"/>
      <c r="F529" s="366"/>
      <c r="G529" s="367"/>
      <c r="H529" s="360"/>
      <c r="I529" s="360"/>
    </row>
    <row r="530" spans="2:9" ht="31.5" customHeight="1">
      <c r="B530" s="369"/>
      <c r="C530" s="356"/>
      <c r="D530" s="364"/>
      <c r="E530" s="365"/>
      <c r="F530" s="366"/>
      <c r="G530" s="367"/>
      <c r="H530" s="360"/>
      <c r="I530" s="360"/>
    </row>
    <row r="531" spans="2:9" ht="31.5" customHeight="1">
      <c r="B531" s="369"/>
      <c r="C531" s="356"/>
      <c r="D531" s="364"/>
      <c r="E531" s="365"/>
      <c r="F531" s="366"/>
      <c r="G531" s="367"/>
      <c r="H531" s="360"/>
      <c r="I531" s="360"/>
    </row>
    <row r="532" spans="2:9" ht="31.5" customHeight="1">
      <c r="B532" s="369"/>
      <c r="C532" s="356"/>
      <c r="D532" s="364"/>
      <c r="E532" s="365"/>
      <c r="F532" s="366"/>
      <c r="G532" s="367"/>
      <c r="H532" s="360"/>
      <c r="I532" s="360"/>
    </row>
    <row r="533" spans="2:9" ht="31.5" customHeight="1">
      <c r="B533" s="369"/>
      <c r="C533" s="356"/>
      <c r="D533" s="364"/>
      <c r="E533" s="365"/>
      <c r="F533" s="366"/>
      <c r="G533" s="367"/>
      <c r="H533" s="360"/>
      <c r="I533" s="360"/>
    </row>
    <row r="534" spans="2:9" ht="31.5" customHeight="1">
      <c r="B534" s="369"/>
      <c r="C534" s="356"/>
      <c r="D534" s="364"/>
      <c r="E534" s="365"/>
      <c r="F534" s="366"/>
      <c r="G534" s="367"/>
      <c r="H534" s="360"/>
      <c r="I534" s="360"/>
    </row>
    <row r="535" spans="2:9" ht="31.5" customHeight="1">
      <c r="B535" s="369"/>
      <c r="C535" s="356"/>
      <c r="D535" s="364"/>
      <c r="E535" s="365"/>
      <c r="F535" s="366"/>
      <c r="G535" s="367"/>
      <c r="H535" s="360"/>
      <c r="I535" s="360"/>
    </row>
    <row r="536" spans="2:9" ht="31.5" customHeight="1">
      <c r="B536" s="369"/>
      <c r="C536" s="356"/>
      <c r="D536" s="364"/>
      <c r="E536" s="365"/>
      <c r="F536" s="366"/>
      <c r="G536" s="367"/>
      <c r="H536" s="360"/>
      <c r="I536" s="360"/>
    </row>
    <row r="537" spans="2:9" ht="31.5" customHeight="1">
      <c r="B537" s="369"/>
      <c r="C537" s="356"/>
      <c r="D537" s="364"/>
      <c r="E537" s="365"/>
      <c r="F537" s="366"/>
      <c r="G537" s="367"/>
      <c r="H537" s="360"/>
      <c r="I537" s="360"/>
    </row>
    <row r="538" spans="2:9" ht="31.5" customHeight="1">
      <c r="B538" s="369"/>
      <c r="C538" s="356"/>
      <c r="D538" s="364"/>
      <c r="E538" s="365"/>
      <c r="F538" s="366"/>
      <c r="G538" s="367"/>
      <c r="H538" s="360"/>
      <c r="I538" s="360"/>
    </row>
    <row r="539" spans="2:9" ht="31.5" customHeight="1">
      <c r="B539" s="369"/>
      <c r="C539" s="356"/>
      <c r="D539" s="364"/>
      <c r="E539" s="365"/>
      <c r="F539" s="366"/>
      <c r="G539" s="367"/>
      <c r="H539" s="360"/>
      <c r="I539" s="360"/>
    </row>
    <row r="540" spans="2:9" ht="31.5" customHeight="1">
      <c r="B540" s="369"/>
      <c r="C540" s="356"/>
      <c r="D540" s="364"/>
      <c r="E540" s="365"/>
      <c r="F540" s="366"/>
      <c r="G540" s="367"/>
      <c r="H540" s="360"/>
      <c r="I540" s="360"/>
    </row>
    <row r="541" spans="2:9" ht="31.5" customHeight="1">
      <c r="B541" s="369"/>
      <c r="C541" s="356"/>
      <c r="D541" s="364"/>
      <c r="E541" s="365"/>
      <c r="F541" s="366"/>
      <c r="G541" s="367"/>
      <c r="H541" s="360"/>
      <c r="I541" s="360"/>
    </row>
    <row r="542" spans="2:9" ht="31.5" customHeight="1">
      <c r="B542" s="369"/>
      <c r="C542" s="356"/>
      <c r="D542" s="364"/>
      <c r="E542" s="365"/>
      <c r="F542" s="366"/>
      <c r="G542" s="367"/>
      <c r="H542" s="360"/>
      <c r="I542" s="360"/>
    </row>
    <row r="543" spans="2:9" ht="31.5" customHeight="1">
      <c r="B543" s="369"/>
      <c r="C543" s="356"/>
      <c r="D543" s="364"/>
      <c r="E543" s="365"/>
      <c r="F543" s="366"/>
      <c r="G543" s="367"/>
      <c r="H543" s="360"/>
      <c r="I543" s="360"/>
    </row>
    <row r="544" spans="2:9" ht="31.5" customHeight="1">
      <c r="B544" s="369"/>
      <c r="C544" s="356"/>
      <c r="D544" s="364"/>
      <c r="E544" s="365"/>
      <c r="F544" s="366"/>
      <c r="G544" s="367"/>
      <c r="H544" s="360"/>
      <c r="I544" s="360"/>
    </row>
    <row r="545" spans="2:9" ht="31.5" customHeight="1">
      <c r="B545" s="369"/>
      <c r="C545" s="356"/>
      <c r="D545" s="364"/>
      <c r="E545" s="365"/>
      <c r="F545" s="366"/>
      <c r="G545" s="367"/>
      <c r="H545" s="360"/>
      <c r="I545" s="360"/>
    </row>
    <row r="546" spans="2:9" ht="31.5" customHeight="1">
      <c r="B546" s="369"/>
      <c r="C546" s="356"/>
      <c r="D546" s="364"/>
      <c r="E546" s="365"/>
      <c r="F546" s="366"/>
      <c r="G546" s="367"/>
      <c r="H546" s="360"/>
      <c r="I546" s="360"/>
    </row>
    <row r="547" spans="2:9" ht="31.5" customHeight="1">
      <c r="B547" s="369"/>
      <c r="C547" s="356"/>
      <c r="D547" s="364"/>
      <c r="E547" s="365"/>
      <c r="F547" s="366"/>
      <c r="G547" s="367"/>
      <c r="H547" s="360"/>
      <c r="I547" s="360"/>
    </row>
    <row r="548" spans="2:9" ht="31.5" customHeight="1">
      <c r="B548" s="369"/>
      <c r="C548" s="356"/>
      <c r="D548" s="364"/>
      <c r="E548" s="365"/>
      <c r="F548" s="366"/>
      <c r="G548" s="367"/>
      <c r="H548" s="360"/>
      <c r="I548" s="360"/>
    </row>
    <row r="549" spans="2:9" ht="31.5" customHeight="1">
      <c r="B549" s="369"/>
      <c r="C549" s="356"/>
      <c r="D549" s="364"/>
      <c r="E549" s="365"/>
      <c r="F549" s="366"/>
      <c r="G549" s="367"/>
      <c r="H549" s="360"/>
      <c r="I549" s="360"/>
    </row>
    <row r="550" spans="2:9" ht="31.5" customHeight="1">
      <c r="B550" s="369"/>
      <c r="C550" s="356"/>
      <c r="D550" s="364"/>
      <c r="E550" s="365"/>
      <c r="F550" s="366"/>
      <c r="G550" s="367"/>
      <c r="H550" s="360"/>
      <c r="I550" s="360"/>
    </row>
    <row r="551" spans="2:9" ht="31.5" customHeight="1">
      <c r="B551" s="369"/>
      <c r="C551" s="356"/>
      <c r="D551" s="364"/>
      <c r="E551" s="365"/>
      <c r="F551" s="366"/>
      <c r="G551" s="367"/>
      <c r="H551" s="360"/>
      <c r="I551" s="360"/>
    </row>
    <row r="552" spans="2:9" ht="31.5" customHeight="1">
      <c r="B552" s="369"/>
      <c r="C552" s="356"/>
      <c r="D552" s="364"/>
      <c r="E552" s="365"/>
      <c r="F552" s="366"/>
      <c r="G552" s="367"/>
      <c r="H552" s="360"/>
      <c r="I552" s="360"/>
    </row>
    <row r="553" spans="2:9" ht="31.5" customHeight="1">
      <c r="B553" s="369"/>
      <c r="C553" s="356"/>
      <c r="D553" s="364"/>
      <c r="E553" s="365"/>
      <c r="F553" s="366"/>
      <c r="G553" s="367"/>
      <c r="H553" s="360"/>
      <c r="I553" s="360"/>
    </row>
    <row r="554" spans="2:9" ht="31.5" customHeight="1">
      <c r="B554" s="369"/>
      <c r="C554" s="356"/>
      <c r="D554" s="364"/>
      <c r="E554" s="365"/>
      <c r="F554" s="366"/>
      <c r="G554" s="367"/>
      <c r="H554" s="360"/>
      <c r="I554" s="360"/>
    </row>
    <row r="555" spans="2:9" ht="31.5" customHeight="1">
      <c r="B555" s="369"/>
      <c r="C555" s="356"/>
      <c r="D555" s="364"/>
      <c r="E555" s="365"/>
      <c r="F555" s="366"/>
      <c r="G555" s="367"/>
      <c r="H555" s="360"/>
      <c r="I555" s="360"/>
    </row>
    <row r="556" spans="2:9" ht="31.5" customHeight="1">
      <c r="B556" s="385"/>
      <c r="C556" s="386"/>
      <c r="D556" s="387"/>
      <c r="E556" s="388"/>
      <c r="F556" s="389"/>
      <c r="G556" s="390"/>
      <c r="H556" s="391"/>
      <c r="I556" s="391"/>
    </row>
    <row r="557" spans="2:9" ht="31.5" customHeight="1"/>
    <row r="558" spans="2:9" ht="31.5" customHeight="1"/>
    <row r="559" spans="2:9" ht="31.5" customHeight="1"/>
    <row r="560" spans="2:9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</sheetData>
  <sheetProtection selectLockedCells="1" selectUnlockedCells="1"/>
  <mergeCells count="13">
    <mergeCell ref="B2:K2"/>
    <mergeCell ref="F4:I4"/>
    <mergeCell ref="F5:I5"/>
    <mergeCell ref="F6:I6"/>
    <mergeCell ref="F7:I7"/>
    <mergeCell ref="B7:E7"/>
    <mergeCell ref="J7:K7"/>
    <mergeCell ref="B4:E4"/>
    <mergeCell ref="J4:K4"/>
    <mergeCell ref="B5:E5"/>
    <mergeCell ref="J5:K5"/>
    <mergeCell ref="B6:E6"/>
    <mergeCell ref="J6:K6"/>
  </mergeCells>
  <conditionalFormatting sqref="E122:F165 E166:E167 E196 E204:F205 E210:F218 E28:E121">
    <cfRule type="cellIs" dxfId="11" priority="6171" stopIfTrue="1" operator="equal">
      <formula>0</formula>
    </cfRule>
  </conditionalFormatting>
  <conditionalFormatting sqref="K22">
    <cfRule type="cellIs" dxfId="10" priority="1" stopIfTrue="1" operator="equal">
      <formula>0</formula>
    </cfRule>
  </conditionalFormatting>
  <printOptions horizontalCentered="1"/>
  <pageMargins left="0.7" right="0.7" top="0.75" bottom="0.75" header="0.3" footer="0.3"/>
  <pageSetup paperSize="9" scale="54" fitToHeight="0" orientation="portrait" r:id="rId1"/>
  <headerFooter alignWithMargins="0"/>
  <rowBreaks count="2" manualBreakCount="2">
    <brk id="144" min="1" max="9" man="1"/>
    <brk id="214" min="1" max="9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C00000"/>
  </sheetPr>
  <dimension ref="B1:F41"/>
  <sheetViews>
    <sheetView showGridLines="0" showZeros="0" view="pageBreakPreview" zoomScale="85" zoomScaleNormal="100" zoomScaleSheetLayoutView="85" workbookViewId="0">
      <selection activeCell="G6" sqref="G6"/>
    </sheetView>
  </sheetViews>
  <sheetFormatPr defaultColWidth="11.42578125" defaultRowHeight="12.75"/>
  <cols>
    <col min="1" max="1" width="4.42578125" style="291" customWidth="1"/>
    <col min="2" max="2" width="6.140625" style="303" customWidth="1"/>
    <col min="3" max="3" width="23.28515625" style="303" customWidth="1"/>
    <col min="4" max="4" width="28.7109375" style="303" customWidth="1"/>
    <col min="5" max="5" width="43.7109375" style="303" customWidth="1"/>
    <col min="6" max="16384" width="11.42578125" style="291"/>
  </cols>
  <sheetData>
    <row r="1" spans="2:6" ht="18.75" customHeight="1">
      <c r="B1" s="1309" t="s">
        <v>466</v>
      </c>
      <c r="C1" s="1309"/>
      <c r="D1" s="1309"/>
      <c r="E1" s="1309"/>
    </row>
    <row r="2" spans="2:6" ht="18.75" customHeight="1">
      <c r="B2" s="1309"/>
      <c r="C2" s="1309"/>
      <c r="D2" s="1309"/>
      <c r="E2" s="1309"/>
    </row>
    <row r="3" spans="2:6" ht="18.75" customHeight="1">
      <c r="B3" s="292"/>
      <c r="C3" s="292"/>
      <c r="D3" s="292"/>
      <c r="E3" s="292"/>
    </row>
    <row r="4" spans="2:6" s="294" customFormat="1" ht="18.75" customHeight="1">
      <c r="B4" s="1204" t="s">
        <v>93</v>
      </c>
      <c r="C4" s="1205"/>
      <c r="D4" s="530" t="s">
        <v>163</v>
      </c>
      <c r="E4" s="706" t="s">
        <v>95</v>
      </c>
    </row>
    <row r="5" spans="2:6" s="295" customFormat="1" ht="18.75" customHeight="1">
      <c r="B5" s="1220" t="str">
        <f>M.Menu!E3</f>
        <v>Energy Endurance</v>
      </c>
      <c r="C5" s="1221"/>
      <c r="D5" s="308">
        <f>M.Menu!L3</f>
        <v>9948695</v>
      </c>
      <c r="E5" s="707" t="str">
        <f>M.Menu!L11&amp;", "&amp;M.Menu!L12</f>
        <v>Sabine Pass, U.S.A.</v>
      </c>
    </row>
    <row r="6" spans="2:6" s="294" customFormat="1" ht="18.75" customHeight="1">
      <c r="B6" s="1204" t="s">
        <v>49</v>
      </c>
      <c r="C6" s="1205"/>
      <c r="D6" s="530" t="s">
        <v>132</v>
      </c>
      <c r="E6" s="706" t="s">
        <v>94</v>
      </c>
    </row>
    <row r="7" spans="2:6" s="295" customFormat="1" ht="18.75" customHeight="1">
      <c r="B7" s="1206" t="str">
        <f>M.Menu!L8</f>
        <v>Marshall Islands</v>
      </c>
      <c r="C7" s="1207"/>
      <c r="D7" s="309" t="str">
        <f>M.Menu!E4</f>
        <v>V7A7282</v>
      </c>
      <c r="E7" s="708">
        <f>M.Menu!L13</f>
        <v>46106</v>
      </c>
    </row>
    <row r="8" spans="2:6" ht="18.75" customHeight="1">
      <c r="B8" s="296"/>
      <c r="C8" s="296"/>
      <c r="D8" s="297"/>
      <c r="E8" s="297"/>
      <c r="F8" s="584"/>
    </row>
    <row r="9" spans="2:6" s="294" customFormat="1" ht="30.75" customHeight="1">
      <c r="B9" s="594" t="s">
        <v>44</v>
      </c>
      <c r="C9" s="1308" t="s">
        <v>4</v>
      </c>
      <c r="D9" s="1308"/>
      <c r="E9" s="595" t="s">
        <v>123</v>
      </c>
      <c r="F9" s="705"/>
    </row>
    <row r="10" spans="2:6" s="300" customFormat="1" ht="29.25" customHeight="1">
      <c r="B10" s="605" t="s">
        <v>467</v>
      </c>
      <c r="C10" s="1312" t="s">
        <v>400</v>
      </c>
      <c r="D10" s="1313"/>
      <c r="E10" s="599" t="s">
        <v>65</v>
      </c>
      <c r="F10" s="585"/>
    </row>
    <row r="11" spans="2:6" s="300" customFormat="1" ht="29.25" customHeight="1">
      <c r="B11" s="605" t="s">
        <v>468</v>
      </c>
      <c r="C11" s="1314" t="s">
        <v>420</v>
      </c>
      <c r="D11" s="1315"/>
      <c r="E11" s="599" t="s">
        <v>65</v>
      </c>
      <c r="F11" s="585"/>
    </row>
    <row r="12" spans="2:6" s="300" customFormat="1" ht="29.25" customHeight="1">
      <c r="B12" s="605" t="s">
        <v>469</v>
      </c>
      <c r="C12" s="1314" t="s">
        <v>360</v>
      </c>
      <c r="D12" s="1315"/>
      <c r="E12" s="599" t="s">
        <v>65</v>
      </c>
      <c r="F12" s="585"/>
    </row>
    <row r="13" spans="2:6" s="300" customFormat="1" ht="29.25" customHeight="1">
      <c r="B13" s="605" t="s">
        <v>745</v>
      </c>
      <c r="C13" s="1006" t="s">
        <v>418</v>
      </c>
      <c r="D13" s="1007"/>
      <c r="E13" s="420" t="s">
        <v>65</v>
      </c>
      <c r="F13" s="585"/>
    </row>
    <row r="14" spans="2:6" s="300" customFormat="1" ht="29.25" customHeight="1">
      <c r="B14" s="605" t="s">
        <v>868</v>
      </c>
      <c r="C14" s="1008" t="s">
        <v>399</v>
      </c>
      <c r="D14" s="1009"/>
      <c r="E14" s="420" t="s">
        <v>65</v>
      </c>
      <c r="F14" s="596"/>
    </row>
    <row r="15" spans="2:6" s="300" customFormat="1" ht="29.25" customHeight="1">
      <c r="B15" s="605" t="s">
        <v>58</v>
      </c>
      <c r="C15" s="1312" t="s">
        <v>413</v>
      </c>
      <c r="D15" s="1313"/>
      <c r="E15" s="599" t="s">
        <v>65</v>
      </c>
      <c r="F15" s="596"/>
    </row>
    <row r="16" spans="2:6" s="300" customFormat="1" ht="29.25" customHeight="1">
      <c r="B16" s="605"/>
      <c r="C16" s="1316"/>
      <c r="D16" s="1317"/>
      <c r="E16" s="601"/>
      <c r="F16" s="585"/>
    </row>
    <row r="17" spans="2:6" s="300" customFormat="1" ht="29.25" customHeight="1">
      <c r="B17" s="605"/>
      <c r="C17" s="1322"/>
      <c r="D17" s="1323"/>
      <c r="E17" s="599"/>
      <c r="F17" s="585"/>
    </row>
    <row r="18" spans="2:6" s="300" customFormat="1" ht="29.25" customHeight="1">
      <c r="B18" s="605"/>
      <c r="C18" s="1316"/>
      <c r="D18" s="1317"/>
      <c r="E18" s="601"/>
      <c r="F18" s="585"/>
    </row>
    <row r="19" spans="2:6" s="300" customFormat="1" ht="29.25" customHeight="1">
      <c r="B19" s="605"/>
      <c r="C19" s="1316"/>
      <c r="D19" s="1317"/>
      <c r="E19" s="601"/>
      <c r="F19" s="597"/>
    </row>
    <row r="20" spans="2:6" s="300" customFormat="1" ht="29.25" customHeight="1">
      <c r="B20" s="605"/>
      <c r="C20" s="1316"/>
      <c r="D20" s="1317"/>
      <c r="E20" s="601"/>
      <c r="F20" s="597"/>
    </row>
    <row r="21" spans="2:6" s="300" customFormat="1" ht="29.25" customHeight="1">
      <c r="B21" s="605"/>
      <c r="C21" s="1320"/>
      <c r="D21" s="1321"/>
      <c r="E21" s="602"/>
      <c r="F21" s="597"/>
    </row>
    <row r="22" spans="2:6" s="300" customFormat="1" ht="29.25" customHeight="1">
      <c r="B22" s="605"/>
      <c r="C22" s="1310"/>
      <c r="D22" s="1311"/>
      <c r="E22" s="602"/>
      <c r="F22" s="597"/>
    </row>
    <row r="23" spans="2:6" s="300" customFormat="1" ht="29.25" customHeight="1">
      <c r="B23" s="606"/>
      <c r="C23" s="1318"/>
      <c r="D23" s="1319"/>
      <c r="E23" s="603"/>
      <c r="F23" s="598"/>
    </row>
    <row r="24" spans="2:6" ht="12.75" customHeight="1">
      <c r="B24" s="301"/>
      <c r="C24" s="301"/>
      <c r="D24" s="301"/>
      <c r="E24" s="301"/>
    </row>
    <row r="25" spans="2:6" ht="12.75" customHeight="1">
      <c r="B25" s="302"/>
    </row>
    <row r="26" spans="2:6" ht="12.75" customHeight="1">
      <c r="B26" s="302"/>
      <c r="C26" s="305"/>
      <c r="D26" s="306"/>
      <c r="E26" s="532" t="str">
        <f>M.Menu!S15</f>
        <v>CAPT. WENDT ROBERT</v>
      </c>
    </row>
    <row r="27" spans="2:6" ht="12.75" customHeight="1">
      <c r="B27" s="302"/>
      <c r="E27" s="533" t="s">
        <v>39</v>
      </c>
    </row>
    <row r="28" spans="2:6" ht="12.75" customHeight="1">
      <c r="B28" s="302"/>
    </row>
    <row r="29" spans="2:6" ht="12.75" customHeight="1"/>
    <row r="30" spans="2:6" ht="12.75" customHeight="1"/>
    <row r="31" spans="2:6" ht="12.75" customHeight="1"/>
    <row r="32" spans="2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</sheetData>
  <sheetProtection insertRows="0" deleteRows="0" selectLockedCells="1"/>
  <mergeCells count="18">
    <mergeCell ref="C23:D23"/>
    <mergeCell ref="C19:D19"/>
    <mergeCell ref="C20:D20"/>
    <mergeCell ref="C21:D21"/>
    <mergeCell ref="C17:D17"/>
    <mergeCell ref="C18:D18"/>
    <mergeCell ref="B4:C4"/>
    <mergeCell ref="B5:C5"/>
    <mergeCell ref="C9:D9"/>
    <mergeCell ref="B1:E2"/>
    <mergeCell ref="C22:D22"/>
    <mergeCell ref="C10:D10"/>
    <mergeCell ref="C11:D11"/>
    <mergeCell ref="C12:D12"/>
    <mergeCell ref="B6:C6"/>
    <mergeCell ref="C15:D15"/>
    <mergeCell ref="B7:C7"/>
    <mergeCell ref="C16:D16"/>
  </mergeCells>
  <printOptions horizontalCentered="1"/>
  <pageMargins left="0.23622047244094491" right="0.35433070866141736" top="0.39370078740157483" bottom="0" header="0.51181102362204722" footer="0.55118110236220474"/>
  <pageSetup paperSize="9" scale="8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C00000"/>
  </sheetPr>
  <dimension ref="B1:F47"/>
  <sheetViews>
    <sheetView showGridLines="0" showZeros="0"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H16" sqref="H16:I16"/>
    </sheetView>
  </sheetViews>
  <sheetFormatPr defaultColWidth="11.42578125" defaultRowHeight="12.75"/>
  <cols>
    <col min="1" max="1" width="9.140625" style="610" customWidth="1"/>
    <col min="2" max="2" width="6.140625" style="624" customWidth="1"/>
    <col min="3" max="3" width="30.140625" style="624" customWidth="1"/>
    <col min="4" max="4" width="28.85546875" style="624" customWidth="1"/>
    <col min="5" max="5" width="17" style="745" customWidth="1"/>
    <col min="6" max="6" width="15.140625" style="624" customWidth="1"/>
    <col min="7" max="16384" width="11.42578125" style="610"/>
  </cols>
  <sheetData>
    <row r="1" spans="2:6" ht="39" customHeight="1">
      <c r="B1" s="610"/>
      <c r="C1" s="610"/>
      <c r="D1" s="610"/>
      <c r="E1" s="711"/>
      <c r="F1" s="610"/>
    </row>
    <row r="2" spans="2:6" ht="18.75" customHeight="1">
      <c r="B2" s="1332" t="s">
        <v>294</v>
      </c>
      <c r="C2" s="1333"/>
      <c r="D2" s="1333"/>
      <c r="E2" s="1333"/>
      <c r="F2" s="1333"/>
    </row>
    <row r="3" spans="2:6" ht="18.75" customHeight="1">
      <c r="B3" s="613"/>
      <c r="C3" s="613"/>
      <c r="D3" s="613"/>
      <c r="E3" s="712"/>
      <c r="F3" s="613"/>
    </row>
    <row r="4" spans="2:6" s="616" customFormat="1" ht="18.75" customHeight="1">
      <c r="B4" s="1334" t="s">
        <v>93</v>
      </c>
      <c r="C4" s="1335"/>
      <c r="D4" s="713" t="s">
        <v>94</v>
      </c>
      <c r="E4" s="1334" t="s">
        <v>95</v>
      </c>
      <c r="F4" s="1335"/>
    </row>
    <row r="5" spans="2:6" s="617" customFormat="1" ht="18.75" customHeight="1">
      <c r="B5" s="1336" t="str">
        <f>"  "&amp;M.Menu!E3</f>
        <v xml:space="preserve">  Energy Endurance</v>
      </c>
      <c r="C5" s="1337"/>
      <c r="D5" s="714">
        <f>M.Menu!L13</f>
        <v>46106</v>
      </c>
      <c r="E5" s="1326" t="str">
        <f>M.Menu!L11&amp;", "&amp;M.Menu!L12</f>
        <v>Sabine Pass, U.S.A.</v>
      </c>
      <c r="F5" s="1327"/>
    </row>
    <row r="6" spans="2:6" s="616" customFormat="1" ht="18.75" customHeight="1">
      <c r="B6" s="1334" t="s">
        <v>49</v>
      </c>
      <c r="C6" s="1335"/>
      <c r="D6" s="713" t="s">
        <v>132</v>
      </c>
      <c r="E6" s="1334" t="s">
        <v>137</v>
      </c>
      <c r="F6" s="1335"/>
    </row>
    <row r="7" spans="2:6" s="617" customFormat="1" ht="18.75" customHeight="1">
      <c r="B7" s="1328" t="str">
        <f>"  "&amp;M.Menu!L8</f>
        <v xml:space="preserve">  Marshall Islands</v>
      </c>
      <c r="C7" s="1329"/>
      <c r="D7" s="715" t="str">
        <f>M.Menu!E4</f>
        <v>V7A7282</v>
      </c>
      <c r="E7" s="1326" t="str">
        <f>M.Menu!E11&amp;", "&amp;M.Menu!E12</f>
        <v>BARCARENA, BRAZIL</v>
      </c>
      <c r="F7" s="1327"/>
    </row>
    <row r="8" spans="2:6" ht="18.75" customHeight="1">
      <c r="B8" s="716"/>
      <c r="C8" s="716"/>
      <c r="D8" s="717"/>
      <c r="E8" s="718"/>
      <c r="F8" s="719"/>
    </row>
    <row r="9" spans="2:6" s="616" customFormat="1" ht="18.75" customHeight="1">
      <c r="B9" s="720"/>
      <c r="C9" s="721"/>
      <c r="D9" s="721"/>
      <c r="E9" s="1330" t="s">
        <v>123</v>
      </c>
      <c r="F9" s="1331"/>
    </row>
    <row r="10" spans="2:6" s="616" customFormat="1" ht="18.75" customHeight="1">
      <c r="B10" s="722"/>
      <c r="C10" s="723"/>
      <c r="D10" s="723"/>
      <c r="E10" s="724"/>
      <c r="F10" s="725"/>
    </row>
    <row r="11" spans="2:6" s="331" customFormat="1" ht="24" customHeight="1">
      <c r="B11" s="726"/>
      <c r="C11" s="727" t="s">
        <v>295</v>
      </c>
      <c r="D11" s="728"/>
      <c r="E11" s="1324" t="s">
        <v>65</v>
      </c>
      <c r="F11" s="1325"/>
    </row>
    <row r="12" spans="2:6" s="331" customFormat="1" ht="24" customHeight="1">
      <c r="B12" s="726"/>
      <c r="C12" s="727"/>
      <c r="D12" s="728"/>
      <c r="E12" s="112"/>
      <c r="F12" s="729"/>
    </row>
    <row r="13" spans="2:6" s="331" customFormat="1" ht="24" customHeight="1">
      <c r="B13" s="726"/>
      <c r="C13" s="730"/>
      <c r="D13" s="728"/>
      <c r="E13" s="112"/>
      <c r="F13" s="729"/>
    </row>
    <row r="14" spans="2:6" s="331" customFormat="1" ht="24" customHeight="1">
      <c r="B14" s="726"/>
      <c r="C14" s="730"/>
      <c r="D14" s="728"/>
      <c r="E14" s="112"/>
      <c r="F14" s="729"/>
    </row>
    <row r="15" spans="2:6" s="331" customFormat="1" ht="24" customHeight="1">
      <c r="B15" s="726"/>
      <c r="C15" s="730"/>
      <c r="D15" s="728"/>
      <c r="E15" s="112"/>
      <c r="F15" s="729"/>
    </row>
    <row r="16" spans="2:6" s="331" customFormat="1" ht="24" customHeight="1">
      <c r="B16" s="726"/>
      <c r="C16" s="730"/>
      <c r="D16" s="728"/>
      <c r="E16" s="112"/>
      <c r="F16" s="729"/>
    </row>
    <row r="17" spans="2:6" s="331" customFormat="1" ht="24" customHeight="1">
      <c r="B17" s="726"/>
      <c r="C17" s="730"/>
      <c r="D17" s="728"/>
      <c r="E17" s="112"/>
      <c r="F17" s="729"/>
    </row>
    <row r="18" spans="2:6" s="331" customFormat="1" ht="24" customHeight="1">
      <c r="B18" s="726"/>
      <c r="C18" s="730"/>
      <c r="D18" s="728"/>
      <c r="E18" s="112"/>
      <c r="F18" s="729"/>
    </row>
    <row r="19" spans="2:6" s="331" customFormat="1" ht="24" customHeight="1">
      <c r="B19" s="726"/>
      <c r="C19" s="727"/>
      <c r="D19" s="728"/>
      <c r="E19" s="113"/>
      <c r="F19" s="729"/>
    </row>
    <row r="20" spans="2:6" s="331" customFormat="1" ht="24" customHeight="1">
      <c r="B20" s="726"/>
      <c r="C20" s="730"/>
      <c r="D20" s="728"/>
      <c r="E20" s="113"/>
      <c r="F20" s="729"/>
    </row>
    <row r="21" spans="2:6" s="331" customFormat="1" ht="24" customHeight="1">
      <c r="B21" s="726"/>
      <c r="C21" s="730"/>
      <c r="D21" s="728"/>
      <c r="E21" s="113"/>
      <c r="F21" s="729"/>
    </row>
    <row r="22" spans="2:6" s="331" customFormat="1" ht="24" customHeight="1">
      <c r="B22" s="726"/>
      <c r="C22" s="730"/>
      <c r="D22" s="728"/>
      <c r="E22" s="114"/>
      <c r="F22" s="729"/>
    </row>
    <row r="23" spans="2:6" s="331" customFormat="1" ht="24" customHeight="1">
      <c r="B23" s="726"/>
      <c r="C23" s="730"/>
      <c r="D23" s="728"/>
      <c r="E23" s="113"/>
      <c r="F23" s="729"/>
    </row>
    <row r="24" spans="2:6" s="331" customFormat="1" ht="24" customHeight="1">
      <c r="B24" s="726"/>
      <c r="C24" s="730"/>
      <c r="D24" s="728"/>
      <c r="E24" s="113"/>
      <c r="F24" s="729"/>
    </row>
    <row r="25" spans="2:6" s="331" customFormat="1" ht="24" customHeight="1">
      <c r="B25" s="726"/>
      <c r="C25" s="730"/>
      <c r="D25" s="728"/>
      <c r="E25" s="114"/>
      <c r="F25" s="729"/>
    </row>
    <row r="26" spans="2:6" s="331" customFormat="1" ht="24" customHeight="1">
      <c r="B26" s="726"/>
      <c r="C26" s="731"/>
      <c r="D26" s="728"/>
      <c r="E26" s="114"/>
      <c r="F26" s="729"/>
    </row>
    <row r="27" spans="2:6" ht="24" customHeight="1">
      <c r="B27" s="732"/>
      <c r="C27" s="733"/>
      <c r="D27" s="734"/>
      <c r="E27" s="735"/>
      <c r="F27" s="736"/>
    </row>
    <row r="28" spans="2:6" ht="24" customHeight="1">
      <c r="B28" s="737"/>
      <c r="C28" s="737"/>
      <c r="D28" s="738"/>
      <c r="E28" s="739"/>
      <c r="F28" s="740"/>
    </row>
    <row r="29" spans="2:6" ht="24" customHeight="1">
      <c r="B29" s="741"/>
      <c r="C29" s="741"/>
      <c r="D29" s="742"/>
      <c r="E29" s="743"/>
      <c r="F29" s="744"/>
    </row>
    <row r="30" spans="2:6" ht="12.75" customHeight="1"/>
    <row r="31" spans="2:6" ht="18" customHeight="1">
      <c r="D31" s="746"/>
      <c r="E31" s="747" t="str">
        <f>M.Menu!S16</f>
        <v>CAPT. WENDT ROBERT</v>
      </c>
      <c r="F31" s="748"/>
    </row>
    <row r="32" spans="2:6" ht="12.75" customHeight="1">
      <c r="E32" s="749" t="s">
        <v>39</v>
      </c>
      <c r="F32" s="626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</sheetData>
  <mergeCells count="11">
    <mergeCell ref="E11:F11"/>
    <mergeCell ref="E7:F7"/>
    <mergeCell ref="B7:C7"/>
    <mergeCell ref="E9:F9"/>
    <mergeCell ref="B2:F2"/>
    <mergeCell ref="B4:C4"/>
    <mergeCell ref="B5:C5"/>
    <mergeCell ref="B6:C6"/>
    <mergeCell ref="E4:F4"/>
    <mergeCell ref="E6:F6"/>
    <mergeCell ref="E5:F5"/>
  </mergeCells>
  <phoneticPr fontId="0" type="noConversion"/>
  <printOptions horizontalCentered="1"/>
  <pageMargins left="0.39370078740157499" right="0.39370078740157499" top="0.94" bottom="0.63" header="0.511811023622047" footer="0.56000000000000005"/>
  <pageSetup paperSize="9" scale="9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C00000"/>
  </sheetPr>
  <dimension ref="B1:S48"/>
  <sheetViews>
    <sheetView showZeros="0" tabSelected="1" showOutlineSymbols="0" view="pageBreakPreview" zoomScale="55" zoomScaleNormal="70" zoomScaleSheetLayoutView="55" zoomScalePageLayoutView="75" workbookViewId="0">
      <selection activeCell="S15" sqref="S15"/>
    </sheetView>
  </sheetViews>
  <sheetFormatPr defaultColWidth="9.140625" defaultRowHeight="12.75"/>
  <cols>
    <col min="1" max="1" width="9.140625" style="426"/>
    <col min="2" max="2" width="7.28515625" style="426" customWidth="1"/>
    <col min="3" max="3" width="14" style="426" customWidth="1"/>
    <col min="4" max="4" width="9.140625" style="426"/>
    <col min="5" max="6" width="22.85546875" style="426" customWidth="1"/>
    <col min="7" max="7" width="7.42578125" style="426" customWidth="1"/>
    <col min="8" max="8" width="7.85546875" style="426" customWidth="1"/>
    <col min="9" max="9" width="7.7109375" style="426" customWidth="1"/>
    <col min="10" max="11" width="9.140625" style="426"/>
    <col min="12" max="12" width="63.140625" style="426" customWidth="1"/>
    <col min="13" max="13" width="9.140625" style="426"/>
    <col min="14" max="14" width="33.42578125" style="426" customWidth="1"/>
    <col min="15" max="16384" width="9.140625" style="426"/>
  </cols>
  <sheetData>
    <row r="1" spans="2:19" ht="12.75" customHeight="1">
      <c r="B1" s="1355"/>
      <c r="C1" s="1355"/>
      <c r="D1" s="1355"/>
      <c r="E1" s="1355"/>
      <c r="F1" s="1355"/>
      <c r="G1" s="1355"/>
      <c r="H1" s="1355"/>
      <c r="I1" s="1355"/>
      <c r="J1" s="1355"/>
      <c r="K1" s="1355"/>
      <c r="L1" s="1355"/>
      <c r="M1" s="1355"/>
      <c r="N1" s="1355"/>
    </row>
    <row r="2" spans="2:19" ht="12.75" customHeight="1">
      <c r="B2" s="1356" t="s">
        <v>427</v>
      </c>
      <c r="C2" s="1356"/>
      <c r="D2" s="1356"/>
      <c r="E2" s="1356"/>
      <c r="F2" s="1356"/>
      <c r="G2" s="1356"/>
      <c r="H2" s="1356"/>
      <c r="I2" s="1356"/>
      <c r="J2" s="1356"/>
      <c r="K2" s="1356"/>
      <c r="L2" s="1356"/>
      <c r="M2" s="1356"/>
      <c r="N2" s="1356"/>
    </row>
    <row r="3" spans="2:19" ht="18.75" thickBot="1">
      <c r="B3" s="1356" t="s">
        <v>428</v>
      </c>
      <c r="C3" s="1356"/>
      <c r="D3" s="1356"/>
      <c r="E3" s="1356"/>
      <c r="F3" s="1356"/>
      <c r="G3" s="1356"/>
      <c r="H3" s="1356"/>
      <c r="I3" s="1356"/>
      <c r="J3" s="1356"/>
      <c r="K3" s="1356"/>
      <c r="L3" s="1356"/>
      <c r="M3" s="1356"/>
      <c r="N3" s="1356"/>
    </row>
    <row r="4" spans="2:19" ht="12.75" customHeight="1" thickBot="1">
      <c r="B4" s="1357" t="s">
        <v>429</v>
      </c>
      <c r="C4" s="1357"/>
      <c r="D4" s="1358" t="str">
        <f>M.Menu!E3</f>
        <v>Energy Endurance</v>
      </c>
      <c r="E4" s="1358"/>
      <c r="F4" s="1358"/>
      <c r="G4" s="1358"/>
      <c r="H4" s="1358"/>
      <c r="I4" s="1358"/>
      <c r="J4" s="1357" t="s">
        <v>430</v>
      </c>
      <c r="K4" s="1357"/>
      <c r="L4" s="1359">
        <f>M.Menu!L3</f>
        <v>9948695</v>
      </c>
      <c r="M4" s="1358"/>
      <c r="N4" s="1358"/>
    </row>
    <row r="5" spans="2:19" ht="18" customHeight="1" thickBot="1">
      <c r="B5" s="1357"/>
      <c r="C5" s="1357"/>
      <c r="D5" s="1358"/>
      <c r="E5" s="1358"/>
      <c r="F5" s="1358"/>
      <c r="G5" s="1358"/>
      <c r="H5" s="1358"/>
      <c r="I5" s="1358"/>
      <c r="J5" s="1357"/>
      <c r="K5" s="1357"/>
      <c r="L5" s="1358"/>
      <c r="M5" s="1358"/>
      <c r="N5" s="1358"/>
    </row>
    <row r="6" spans="2:19" ht="12.75" customHeight="1" thickBot="1">
      <c r="B6" s="1357" t="s">
        <v>388</v>
      </c>
      <c r="C6" s="1357"/>
      <c r="D6" s="1358" t="str">
        <f>M.Menu!E4</f>
        <v>V7A7282</v>
      </c>
      <c r="E6" s="1358"/>
      <c r="F6" s="1358"/>
      <c r="G6" s="1358"/>
      <c r="H6" s="1358"/>
      <c r="I6" s="1358"/>
      <c r="J6" s="1357" t="s">
        <v>385</v>
      </c>
      <c r="K6" s="1357"/>
      <c r="L6" s="1359" t="str">
        <f>M.Menu!S13</f>
        <v>VOY16</v>
      </c>
      <c r="M6" s="1360"/>
      <c r="N6" s="1360"/>
    </row>
    <row r="7" spans="2:19" ht="18.75" customHeight="1" thickBot="1">
      <c r="B7" s="1357"/>
      <c r="C7" s="1357"/>
      <c r="D7" s="1358"/>
      <c r="E7" s="1358"/>
      <c r="F7" s="1358"/>
      <c r="G7" s="1358"/>
      <c r="H7" s="1358"/>
      <c r="I7" s="1358"/>
      <c r="J7" s="1357"/>
      <c r="K7" s="1357"/>
      <c r="L7" s="1360"/>
      <c r="M7" s="1360"/>
      <c r="N7" s="1360"/>
    </row>
    <row r="8" spans="2:19" ht="12.75" customHeight="1" thickBot="1">
      <c r="B8" s="1357" t="s">
        <v>386</v>
      </c>
      <c r="C8" s="1357"/>
      <c r="D8" s="1364" t="str">
        <f>M.Menu!L8</f>
        <v>Marshall Islands</v>
      </c>
      <c r="E8" s="1365"/>
      <c r="F8" s="1365"/>
      <c r="G8" s="1365"/>
      <c r="H8" s="1365"/>
      <c r="I8" s="1365"/>
      <c r="J8" s="1365"/>
      <c r="K8" s="1365"/>
      <c r="L8" s="1365"/>
      <c r="M8" s="1365"/>
      <c r="N8" s="1366"/>
    </row>
    <row r="9" spans="2:19" ht="13.5" customHeight="1" thickBot="1">
      <c r="B9" s="1357"/>
      <c r="C9" s="1357"/>
      <c r="D9" s="1367"/>
      <c r="E9" s="1368"/>
      <c r="F9" s="1368"/>
      <c r="G9" s="1368"/>
      <c r="H9" s="1368"/>
      <c r="I9" s="1368"/>
      <c r="J9" s="1368"/>
      <c r="K9" s="1368"/>
      <c r="L9" s="1368"/>
      <c r="M9" s="1368"/>
      <c r="N9" s="1369"/>
    </row>
    <row r="10" spans="2:19" ht="71.25" customHeight="1" thickBot="1">
      <c r="B10" s="427" t="s">
        <v>432</v>
      </c>
      <c r="C10" s="1343" t="s">
        <v>433</v>
      </c>
      <c r="D10" s="1343"/>
      <c r="E10" s="427" t="s">
        <v>434</v>
      </c>
      <c r="F10" s="427" t="s">
        <v>435</v>
      </c>
      <c r="G10" s="428" t="s">
        <v>436</v>
      </c>
      <c r="H10" s="429" t="s">
        <v>437</v>
      </c>
      <c r="I10" s="429" t="s">
        <v>438</v>
      </c>
      <c r="J10" s="1361" t="s">
        <v>431</v>
      </c>
      <c r="K10" s="1362"/>
      <c r="L10" s="1363"/>
      <c r="M10" s="1339" t="s">
        <v>439</v>
      </c>
      <c r="N10" s="1339"/>
      <c r="S10" s="430"/>
    </row>
    <row r="11" spans="2:19" ht="73.5" customHeight="1" thickBot="1">
      <c r="B11" s="1003">
        <f>'DataBase (IMO form)'!B8</f>
        <v>1</v>
      </c>
      <c r="C11" s="1338" t="str">
        <f>'DataBase (IMO form)'!D8</f>
        <v xml:space="preserve">WENDT </v>
      </c>
      <c r="D11" s="1339"/>
      <c r="E11" s="1003" t="str">
        <f>'DataBase (IMO form)'!E8</f>
        <v>ROBERT KRZYSZTOF</v>
      </c>
      <c r="F11" s="1003" t="str">
        <f>'DataBase (IMO form)'!C8</f>
        <v>MASTER</v>
      </c>
      <c r="G11" s="868" t="s">
        <v>417</v>
      </c>
      <c r="H11" s="1022" t="s">
        <v>417</v>
      </c>
      <c r="I11" s="869" t="s">
        <v>417</v>
      </c>
      <c r="J11" s="1340" t="str">
        <f>'DataBase (IMO form)'!AO8</f>
        <v>2 Mobile phones, 1 Laptop, 1 Watch, 1 Gold ring, 1 Necklace</v>
      </c>
      <c r="K11" s="1341"/>
      <c r="L11" s="1342"/>
      <c r="M11" s="1343"/>
      <c r="N11" s="1343"/>
    </row>
    <row r="12" spans="2:19" ht="73.5" customHeight="1" thickBot="1">
      <c r="B12" s="1019">
        <f>'DataBase (IMO form)'!B9</f>
        <v>2</v>
      </c>
      <c r="C12" s="1338" t="str">
        <f>'DataBase (IMO form)'!D9</f>
        <v>THANASIS</v>
      </c>
      <c r="D12" s="1339"/>
      <c r="E12" s="1019" t="str">
        <f>'DataBase (IMO form)'!E9</f>
        <v>EVANGELOS</v>
      </c>
      <c r="F12" s="1019" t="str">
        <f>'DataBase (IMO form)'!C9</f>
        <v>CHIEF OFF</v>
      </c>
      <c r="G12" s="868" t="s">
        <v>417</v>
      </c>
      <c r="H12" s="1022" t="s">
        <v>417</v>
      </c>
      <c r="I12" s="869" t="s">
        <v>417</v>
      </c>
      <c r="J12" s="1344" t="s">
        <v>1003</v>
      </c>
      <c r="K12" s="1345"/>
      <c r="L12" s="1346"/>
      <c r="M12" s="1343"/>
      <c r="N12" s="1343"/>
    </row>
    <row r="13" spans="2:19" ht="73.5" customHeight="1" thickBot="1">
      <c r="B13" s="1019">
        <f>'DataBase (IMO form)'!B10</f>
        <v>3</v>
      </c>
      <c r="C13" s="1338" t="str">
        <f>'DataBase (IMO form)'!D10</f>
        <v>TEJU</v>
      </c>
      <c r="D13" s="1339"/>
      <c r="E13" s="1019" t="str">
        <f>'DataBase (IMO form)'!E10</f>
        <v>TOMA</v>
      </c>
      <c r="F13" s="1019" t="str">
        <f>'DataBase (IMO form)'!C10</f>
        <v>TR CHIEF OFF</v>
      </c>
      <c r="G13" s="868"/>
      <c r="H13" s="1022" t="s">
        <v>417</v>
      </c>
      <c r="I13" s="869"/>
      <c r="J13" s="1344" t="s">
        <v>1004</v>
      </c>
      <c r="K13" s="1345"/>
      <c r="L13" s="1346"/>
      <c r="M13" s="1343"/>
      <c r="N13" s="1343"/>
    </row>
    <row r="14" spans="2:19" ht="73.5" customHeight="1" thickBot="1">
      <c r="B14" s="1019">
        <f>'DataBase (IMO form)'!B11</f>
        <v>4</v>
      </c>
      <c r="C14" s="1338" t="str">
        <f>'DataBase (IMO form)'!D11</f>
        <v>BUTS</v>
      </c>
      <c r="D14" s="1339"/>
      <c r="E14" s="1019" t="str">
        <f>'DataBase (IMO form)'!E11</f>
        <v>KOSTIANTYN</v>
      </c>
      <c r="F14" s="1019" t="str">
        <f>'DataBase (IMO form)'!C11</f>
        <v>2ND OFF</v>
      </c>
      <c r="G14" s="868" t="s">
        <v>417</v>
      </c>
      <c r="H14" s="1022" t="s">
        <v>417</v>
      </c>
      <c r="I14" s="869" t="s">
        <v>417</v>
      </c>
      <c r="J14" s="1340" t="str">
        <f>'DataBase (IMO form)'!AO11</f>
        <v>3 Mobile phones, 1 Laptop, 3HDD, 3 USB,1 Headphones</v>
      </c>
      <c r="K14" s="1341"/>
      <c r="L14" s="1342"/>
      <c r="M14" s="1343"/>
      <c r="N14" s="1343"/>
    </row>
    <row r="15" spans="2:19" ht="73.5" customHeight="1" thickBot="1">
      <c r="B15" s="1019">
        <f>'DataBase (IMO form)'!B12</f>
        <v>5</v>
      </c>
      <c r="C15" s="1338" t="str">
        <f>'DataBase (IMO form)'!D12</f>
        <v xml:space="preserve">STAMATIOU </v>
      </c>
      <c r="D15" s="1339"/>
      <c r="E15" s="1019" t="str">
        <f>'DataBase (IMO form)'!E12</f>
        <v>VASILEIOS</v>
      </c>
      <c r="F15" s="1019" t="str">
        <f>'DataBase (IMO form)'!C12</f>
        <v>3RD OFF</v>
      </c>
      <c r="G15" s="868" t="s">
        <v>417</v>
      </c>
      <c r="H15" s="1022">
        <v>200</v>
      </c>
      <c r="I15" s="869" t="s">
        <v>417</v>
      </c>
      <c r="J15" s="1340" t="str">
        <f>'DataBase (IMO form)'!AO12</f>
        <v>2 Mobile phones, 1 Watch, 1 HDD, 3 USB, 1 Hairclipper</v>
      </c>
      <c r="K15" s="1341"/>
      <c r="L15" s="1342"/>
      <c r="M15" s="1343"/>
      <c r="N15" s="1343"/>
    </row>
    <row r="16" spans="2:19" ht="73.5" customHeight="1" thickBot="1">
      <c r="B16" s="1019">
        <f>'DataBase (IMO form)'!B13</f>
        <v>6</v>
      </c>
      <c r="C16" s="1338" t="str">
        <f>'DataBase (IMO form)'!D13</f>
        <v>KOUIMOV</v>
      </c>
      <c r="D16" s="1339"/>
      <c r="E16" s="1019" t="str">
        <f>'DataBase (IMO form)'!E13</f>
        <v>ENTOUARNT OR EDUARD</v>
      </c>
      <c r="F16" s="1019" t="str">
        <f>'DataBase (IMO form)'!C13</f>
        <v xml:space="preserve">3RD OFF </v>
      </c>
      <c r="G16" s="868" t="s">
        <v>417</v>
      </c>
      <c r="H16" s="1022"/>
      <c r="I16" s="869" t="s">
        <v>417</v>
      </c>
      <c r="J16" s="1340" t="s">
        <v>1007</v>
      </c>
      <c r="K16" s="1341"/>
      <c r="L16" s="1342"/>
      <c r="M16" s="1343"/>
      <c r="N16" s="1343"/>
    </row>
    <row r="17" spans="2:14" ht="73.5" customHeight="1" thickBot="1">
      <c r="B17" s="1019">
        <f>'DataBase (IMO form)'!B14</f>
        <v>7</v>
      </c>
      <c r="C17" s="1338" t="str">
        <f>'DataBase (IMO form)'!D14</f>
        <v>CHATZIDIMITRIOU</v>
      </c>
      <c r="D17" s="1339"/>
      <c r="E17" s="1019" t="str">
        <f>'DataBase (IMO form)'!E14</f>
        <v>MARIA</v>
      </c>
      <c r="F17" s="1019" t="str">
        <f>'DataBase (IMO form)'!C14</f>
        <v>DECK CADET</v>
      </c>
      <c r="G17" s="868" t="s">
        <v>417</v>
      </c>
      <c r="H17" s="1022"/>
      <c r="I17" s="869" t="s">
        <v>417</v>
      </c>
      <c r="J17" s="1340" t="str">
        <f>'DataBase (IMO form)'!AO14</f>
        <v>2 Mobile phones, 1 Watch,1 Laptop</v>
      </c>
      <c r="K17" s="1341"/>
      <c r="L17" s="1342"/>
      <c r="M17" s="1343"/>
      <c r="N17" s="1343"/>
    </row>
    <row r="18" spans="2:14" ht="73.5" customHeight="1" thickBot="1">
      <c r="B18" s="1019">
        <f>'DataBase (IMO form)'!B15</f>
        <v>8</v>
      </c>
      <c r="C18" s="1338" t="str">
        <f>'DataBase (IMO form)'!D15</f>
        <v xml:space="preserve">PETROPOULOS </v>
      </c>
      <c r="D18" s="1339"/>
      <c r="E18" s="1019" t="str">
        <f>'DataBase (IMO form)'!E15</f>
        <v>CHRISTOS</v>
      </c>
      <c r="F18" s="1019" t="str">
        <f>'DataBase (IMO form)'!C15</f>
        <v>CHIEF ENG</v>
      </c>
      <c r="G18" s="868" t="s">
        <v>417</v>
      </c>
      <c r="H18" s="1022"/>
      <c r="I18" s="869" t="s">
        <v>417</v>
      </c>
      <c r="J18" s="1340" t="str">
        <f>'DataBase (IMO form)'!AO15</f>
        <v>1 Laptop, 1 Mobile phone</v>
      </c>
      <c r="K18" s="1341"/>
      <c r="L18" s="1342"/>
      <c r="M18" s="1343"/>
      <c r="N18" s="1343"/>
    </row>
    <row r="19" spans="2:14" ht="73.5" customHeight="1" thickBot="1">
      <c r="B19" s="1019">
        <f>'DataBase (IMO form)'!B16</f>
        <v>9</v>
      </c>
      <c r="C19" s="1338" t="str">
        <f>'DataBase (IMO form)'!D16</f>
        <v>SYTNYK</v>
      </c>
      <c r="D19" s="1339"/>
      <c r="E19" s="1019" t="str">
        <f>'DataBase (IMO form)'!E16</f>
        <v xml:space="preserve">YEVGENIY </v>
      </c>
      <c r="F19" s="1019" t="str">
        <f>'DataBase (IMO form)'!C16</f>
        <v>2ND ENG</v>
      </c>
      <c r="G19" s="868" t="s">
        <v>417</v>
      </c>
      <c r="H19" s="1022">
        <v>200</v>
      </c>
      <c r="I19" s="869" t="s">
        <v>417</v>
      </c>
      <c r="J19" s="1340" t="str">
        <f>'DataBase (IMO form)'!AO16</f>
        <v>1 Mobile phone, 1 Laptop, 2 HDD</v>
      </c>
      <c r="K19" s="1341"/>
      <c r="L19" s="1342"/>
      <c r="M19" s="1343"/>
      <c r="N19" s="1343"/>
    </row>
    <row r="20" spans="2:14" ht="73.5" customHeight="1" thickBot="1">
      <c r="B20" s="1019">
        <f>'DataBase (IMO form)'!B17</f>
        <v>10</v>
      </c>
      <c r="C20" s="1338" t="str">
        <f>'DataBase (IMO form)'!D17</f>
        <v>KACHUR</v>
      </c>
      <c r="D20" s="1339"/>
      <c r="E20" s="1019" t="str">
        <f>'DataBase (IMO form)'!E17</f>
        <v>MYKOLA</v>
      </c>
      <c r="F20" s="1019" t="str">
        <f>'DataBase (IMO form)'!C17</f>
        <v>3RD ENG</v>
      </c>
      <c r="G20" s="868" t="s">
        <v>417</v>
      </c>
      <c r="H20" s="1022"/>
      <c r="I20" s="869" t="s">
        <v>417</v>
      </c>
      <c r="J20" s="1340" t="str">
        <f>'DataBase (IMO form)'!AO17</f>
        <v>2 Mobile phones,1 Laptop, 1 shaver, 1 HDD, 1 SSD, I USB, 1 erigator</v>
      </c>
      <c r="K20" s="1341"/>
      <c r="L20" s="1342"/>
      <c r="M20" s="1343"/>
      <c r="N20" s="1343"/>
    </row>
    <row r="21" spans="2:14" ht="73.5" customHeight="1" thickBot="1">
      <c r="B21" s="1019">
        <f>'DataBase (IMO form)'!B18</f>
        <v>11</v>
      </c>
      <c r="C21" s="1338" t="str">
        <f>'DataBase (IMO form)'!D18</f>
        <v>COLEASA</v>
      </c>
      <c r="D21" s="1339"/>
      <c r="E21" s="1019" t="str">
        <f>'DataBase (IMO form)'!E18</f>
        <v>STEFAN  CIPRIAN</v>
      </c>
      <c r="F21" s="1019" t="str">
        <f>'DataBase (IMO form)'!C18</f>
        <v>3RD ENG</v>
      </c>
      <c r="G21" s="868" t="s">
        <v>417</v>
      </c>
      <c r="H21" s="1022"/>
      <c r="I21" s="869" t="s">
        <v>417</v>
      </c>
      <c r="J21" s="1340" t="str">
        <f>'DataBase (IMO form)'!AO18</f>
        <v>2 Mobile phones, 1 Laptop, 1 HDD, 1 SSD, 3 USB, 2 Wrist watch, 1 Hairclipper, 1 Powerbank, 3 Flashlights</v>
      </c>
      <c r="K21" s="1341"/>
      <c r="L21" s="1342"/>
      <c r="M21" s="1343"/>
      <c r="N21" s="1343"/>
    </row>
    <row r="22" spans="2:14" ht="73.5" customHeight="1" thickBot="1">
      <c r="B22" s="1019">
        <f>'DataBase (IMO form)'!B19</f>
        <v>12</v>
      </c>
      <c r="C22" s="1338" t="str">
        <f>'DataBase (IMO form)'!D19</f>
        <v xml:space="preserve">LOFTSALIS </v>
      </c>
      <c r="D22" s="1339"/>
      <c r="E22" s="1019" t="str">
        <f>'DataBase (IMO form)'!E19</f>
        <v>APOSTOLOS</v>
      </c>
      <c r="F22" s="1019" t="str">
        <f>'DataBase (IMO form)'!C19</f>
        <v>4TH ENG</v>
      </c>
      <c r="G22" s="868" t="s">
        <v>417</v>
      </c>
      <c r="H22" s="1022"/>
      <c r="I22" s="869" t="s">
        <v>417</v>
      </c>
      <c r="J22" s="1340" t="s">
        <v>993</v>
      </c>
      <c r="K22" s="1341"/>
      <c r="L22" s="1342"/>
      <c r="M22" s="1343"/>
      <c r="N22" s="1343"/>
    </row>
    <row r="23" spans="2:14" ht="73.5" customHeight="1" thickBot="1">
      <c r="B23" s="1019">
        <f>'DataBase (IMO form)'!B20</f>
        <v>13</v>
      </c>
      <c r="C23" s="1338" t="str">
        <f>'DataBase (IMO form)'!D20</f>
        <v>YEMELIANOV</v>
      </c>
      <c r="D23" s="1339"/>
      <c r="E23" s="1019" t="str">
        <f>'DataBase (IMO form)'!E20</f>
        <v>RICHARD</v>
      </c>
      <c r="F23" s="1019" t="str">
        <f>'DataBase (IMO form)'!C20</f>
        <v xml:space="preserve">GAS ENG </v>
      </c>
      <c r="G23" s="868" t="s">
        <v>417</v>
      </c>
      <c r="H23" s="1022"/>
      <c r="I23" s="869" t="s">
        <v>417</v>
      </c>
      <c r="J23" s="1340" t="str">
        <f>'DataBase (IMO form)'!AO20</f>
        <v>1 Mobile phone, 1 Laptop, 1 HDD, 1 Hairclipper</v>
      </c>
      <c r="K23" s="1341"/>
      <c r="L23" s="1342"/>
      <c r="M23" s="1343"/>
      <c r="N23" s="1343"/>
    </row>
    <row r="24" spans="2:14" ht="73.5" customHeight="1" thickBot="1">
      <c r="B24" s="1019">
        <f>'DataBase (IMO form)'!B21</f>
        <v>14</v>
      </c>
      <c r="C24" s="1338" t="str">
        <f>'DataBase (IMO form)'!D21</f>
        <v>GIDEI</v>
      </c>
      <c r="D24" s="1339"/>
      <c r="E24" s="1019" t="str">
        <f>'DataBase (IMO form)'!E21</f>
        <v>NICOLAE</v>
      </c>
      <c r="F24" s="1019" t="str">
        <f>'DataBase (IMO form)'!C21</f>
        <v>SETO</v>
      </c>
      <c r="G24" s="868" t="s">
        <v>417</v>
      </c>
      <c r="H24" s="1022"/>
      <c r="I24" s="869" t="s">
        <v>417</v>
      </c>
      <c r="J24" s="1340" t="str">
        <f>'DataBase (IMO form)'!AO21</f>
        <v>2 Mobile phones, 1 Laptop</v>
      </c>
      <c r="K24" s="1341"/>
      <c r="L24" s="1342"/>
      <c r="M24" s="1343"/>
      <c r="N24" s="1343"/>
    </row>
    <row r="25" spans="2:14" ht="73.5" customHeight="1" thickBot="1">
      <c r="B25" s="1019">
        <f>'DataBase (IMO form)'!B22</f>
        <v>15</v>
      </c>
      <c r="C25" s="1338" t="str">
        <f>'DataBase (IMO form)'!D22</f>
        <v>LADINES</v>
      </c>
      <c r="D25" s="1339"/>
      <c r="E25" s="1019" t="str">
        <f>'DataBase (IMO form)'!E22</f>
        <v>RODOLFO JR.</v>
      </c>
      <c r="F25" s="1019" t="str">
        <f>'DataBase (IMO form)'!C22</f>
        <v>BOSUN</v>
      </c>
      <c r="G25" s="868" t="s">
        <v>417</v>
      </c>
      <c r="H25" s="1022">
        <v>200</v>
      </c>
      <c r="I25" s="869" t="s">
        <v>417</v>
      </c>
      <c r="J25" s="1344" t="s">
        <v>1005</v>
      </c>
      <c r="K25" s="1345"/>
      <c r="L25" s="1346"/>
      <c r="M25" s="1343"/>
      <c r="N25" s="1343"/>
    </row>
    <row r="26" spans="2:14" ht="73.5" customHeight="1" thickBot="1">
      <c r="B26" s="1019">
        <f>'DataBase (IMO form)'!B23</f>
        <v>16</v>
      </c>
      <c r="C26" s="1338" t="str">
        <f>'DataBase (IMO form)'!D23</f>
        <v xml:space="preserve">LUPAZ </v>
      </c>
      <c r="D26" s="1339"/>
      <c r="E26" s="1019" t="str">
        <f>'DataBase (IMO form)'!E23</f>
        <v>ALBERTO JR.</v>
      </c>
      <c r="F26" s="1019" t="str">
        <f>'DataBase (IMO form)'!C23</f>
        <v>AB</v>
      </c>
      <c r="G26" s="868" t="s">
        <v>417</v>
      </c>
      <c r="H26" s="1022"/>
      <c r="I26" s="869" t="s">
        <v>417</v>
      </c>
      <c r="J26" s="1344" t="s">
        <v>1006</v>
      </c>
      <c r="K26" s="1345"/>
      <c r="L26" s="1346"/>
      <c r="M26" s="1343"/>
      <c r="N26" s="1343"/>
    </row>
    <row r="27" spans="2:14" ht="73.5" customHeight="1" thickBot="1">
      <c r="B27" s="1019">
        <f>'DataBase (IMO form)'!B24</f>
        <v>17</v>
      </c>
      <c r="C27" s="1338" t="str">
        <f>'DataBase (IMO form)'!D24</f>
        <v xml:space="preserve">PALERACIO </v>
      </c>
      <c r="D27" s="1339"/>
      <c r="E27" s="1019" t="str">
        <f>'DataBase (IMO form)'!E24</f>
        <v>JOHN CALLED</v>
      </c>
      <c r="F27" s="1019" t="str">
        <f>'DataBase (IMO form)'!C24</f>
        <v>AB</v>
      </c>
      <c r="G27" s="868" t="s">
        <v>417</v>
      </c>
      <c r="H27" s="1022"/>
      <c r="I27" s="869" t="s">
        <v>417</v>
      </c>
      <c r="J27" s="1344" t="s">
        <v>1008</v>
      </c>
      <c r="K27" s="1345"/>
      <c r="L27" s="1346"/>
      <c r="M27" s="1343"/>
      <c r="N27" s="1343"/>
    </row>
    <row r="28" spans="2:14" ht="73.5" customHeight="1" thickBot="1">
      <c r="B28" s="1019">
        <f>'DataBase (IMO form)'!B25</f>
        <v>18</v>
      </c>
      <c r="C28" s="1338" t="str">
        <f>'DataBase (IMO form)'!D25</f>
        <v xml:space="preserve">RUFON </v>
      </c>
      <c r="D28" s="1339"/>
      <c r="E28" s="1019" t="str">
        <f>'DataBase (IMO form)'!E25</f>
        <v>NOEL III</v>
      </c>
      <c r="F28" s="1019" t="str">
        <f>'DataBase (IMO form)'!C25</f>
        <v>AB</v>
      </c>
      <c r="G28" s="868" t="s">
        <v>417</v>
      </c>
      <c r="H28" s="1022"/>
      <c r="I28" s="869" t="s">
        <v>417</v>
      </c>
      <c r="J28" s="1340" t="str">
        <f>'DataBase (IMO form)'!AO24</f>
        <v>1 Laptop, 1 Mobile phone</v>
      </c>
      <c r="K28" s="1341"/>
      <c r="L28" s="1342"/>
      <c r="M28" s="1343"/>
      <c r="N28" s="1343"/>
    </row>
    <row r="29" spans="2:14" ht="73.5" customHeight="1" thickBot="1">
      <c r="B29" s="1019">
        <f>'DataBase (IMO form)'!B26</f>
        <v>19</v>
      </c>
      <c r="C29" s="1338" t="str">
        <f>'DataBase (IMO form)'!D26</f>
        <v>CASTILLO</v>
      </c>
      <c r="D29" s="1339"/>
      <c r="E29" s="1019" t="str">
        <f>'DataBase (IMO form)'!E26</f>
        <v>TIMBERT</v>
      </c>
      <c r="F29" s="1019" t="str">
        <f>'DataBase (IMO form)'!C26</f>
        <v>AB</v>
      </c>
      <c r="G29" s="868" t="s">
        <v>417</v>
      </c>
      <c r="H29" s="1022"/>
      <c r="I29" s="869" t="s">
        <v>417</v>
      </c>
      <c r="J29" s="1344" t="s">
        <v>1009</v>
      </c>
      <c r="K29" s="1345"/>
      <c r="L29" s="1346"/>
      <c r="M29" s="1343"/>
      <c r="N29" s="1343"/>
    </row>
    <row r="30" spans="2:14" ht="73.5" customHeight="1" thickBot="1">
      <c r="B30" s="1019">
        <f>'DataBase (IMO form)'!B27</f>
        <v>20</v>
      </c>
      <c r="C30" s="1338" t="str">
        <f>'DataBase (IMO form)'!D27</f>
        <v>ACULIT</v>
      </c>
      <c r="D30" s="1339"/>
      <c r="E30" s="1019" t="str">
        <f>'DataBase (IMO form)'!E27</f>
        <v>MIKE LISLIE</v>
      </c>
      <c r="F30" s="1019" t="str">
        <f>'DataBase (IMO form)'!C27</f>
        <v>OS</v>
      </c>
      <c r="G30" s="868" t="s">
        <v>417</v>
      </c>
      <c r="H30" s="1022"/>
      <c r="I30" s="869" t="s">
        <v>417</v>
      </c>
      <c r="J30" s="1340" t="str">
        <f>'DataBase (IMO form)'!AO27</f>
        <v>2 Mobile phones, 1 Speaker, 1 Watch, 1 Hairclipper, 1 Airpods</v>
      </c>
      <c r="K30" s="1341"/>
      <c r="L30" s="1342"/>
      <c r="M30" s="1343"/>
      <c r="N30" s="1343"/>
    </row>
    <row r="31" spans="2:14" ht="73.5" customHeight="1" thickBot="1">
      <c r="B31" s="1019">
        <f>'DataBase (IMO form)'!B28</f>
        <v>21</v>
      </c>
      <c r="C31" s="1338" t="str">
        <f>'DataBase (IMO form)'!D28</f>
        <v>DOMONDON</v>
      </c>
      <c r="D31" s="1339"/>
      <c r="E31" s="1019" t="str">
        <f>'DataBase (IMO form)'!E28</f>
        <v>DEXTER</v>
      </c>
      <c r="F31" s="1019" t="str">
        <f>'DataBase (IMO form)'!C28</f>
        <v>OS</v>
      </c>
      <c r="G31" s="868" t="s">
        <v>417</v>
      </c>
      <c r="H31" s="1022"/>
      <c r="I31" s="869" t="s">
        <v>417</v>
      </c>
      <c r="J31" s="1340" t="str">
        <f>'DataBase (IMO form)'!AO28</f>
        <v>2 Mobile phone, 1 HDD 1 Watch, Earrings</v>
      </c>
      <c r="K31" s="1341"/>
      <c r="L31" s="1342"/>
      <c r="M31" s="1343"/>
      <c r="N31" s="1343"/>
    </row>
    <row r="32" spans="2:14" ht="73.5" customHeight="1" thickBot="1">
      <c r="B32" s="1019">
        <f>'DataBase (IMO form)'!B29</f>
        <v>22</v>
      </c>
      <c r="C32" s="1338" t="str">
        <f>'DataBase (IMO form)'!D29</f>
        <v>DACANAY</v>
      </c>
      <c r="D32" s="1339"/>
      <c r="E32" s="1019" t="str">
        <f>'DataBase (IMO form)'!E29</f>
        <v>JAYSON</v>
      </c>
      <c r="F32" s="1019" t="str">
        <f>'DataBase (IMO form)'!C29</f>
        <v>FITTER</v>
      </c>
      <c r="G32" s="868" t="s">
        <v>417</v>
      </c>
      <c r="H32" s="1022">
        <v>200</v>
      </c>
      <c r="I32" s="869" t="s">
        <v>417</v>
      </c>
      <c r="J32" s="1340" t="str">
        <f>'DataBase (IMO form)'!AO29</f>
        <v>2 Mobile phones,1 Tablet, 1 Watch, 1 Hairclipper, 1 Earpods, 1 HDD, 1 Ring, 1 Wrist watch</v>
      </c>
      <c r="K32" s="1341"/>
      <c r="L32" s="1342"/>
      <c r="M32" s="1343"/>
      <c r="N32" s="1343"/>
    </row>
    <row r="33" spans="2:14" ht="73.5" customHeight="1" thickBot="1">
      <c r="B33" s="1019">
        <f>'DataBase (IMO form)'!B30</f>
        <v>23</v>
      </c>
      <c r="C33" s="1338" t="str">
        <f>'DataBase (IMO form)'!D30</f>
        <v>APID</v>
      </c>
      <c r="D33" s="1339"/>
      <c r="E33" s="1019" t="str">
        <f>'DataBase (IMO form)'!E30</f>
        <v>LORD BYRON</v>
      </c>
      <c r="F33" s="1019" t="str">
        <f>'DataBase (IMO form)'!C30</f>
        <v>MTM</v>
      </c>
      <c r="G33" s="868" t="s">
        <v>417</v>
      </c>
      <c r="H33" s="1022"/>
      <c r="I33" s="869" t="s">
        <v>417</v>
      </c>
      <c r="J33" s="1340" t="str">
        <f>'DataBase (IMO form)'!AO30</f>
        <v>2 Mobile Phones, 1 Laptop,  BT Mouse, 1 Gold ring, 2 usb, 1 HDD</v>
      </c>
      <c r="K33" s="1341"/>
      <c r="L33" s="1342"/>
      <c r="M33" s="1343"/>
      <c r="N33" s="1343"/>
    </row>
    <row r="34" spans="2:14" ht="73.5" customHeight="1" thickBot="1">
      <c r="B34" s="1019">
        <f>'DataBase (IMO form)'!B31</f>
        <v>24</v>
      </c>
      <c r="C34" s="1338" t="str">
        <f>'DataBase (IMO form)'!D31</f>
        <v>BRILLANTES</v>
      </c>
      <c r="D34" s="1339"/>
      <c r="E34" s="1019" t="str">
        <f>'DataBase (IMO form)'!E31</f>
        <v>FER ANN</v>
      </c>
      <c r="F34" s="1019" t="str">
        <f>'DataBase (IMO form)'!C31</f>
        <v>MTM</v>
      </c>
      <c r="G34" s="868" t="s">
        <v>417</v>
      </c>
      <c r="H34" s="1022"/>
      <c r="I34" s="869" t="s">
        <v>417</v>
      </c>
      <c r="J34" s="1340" t="str">
        <f>'DataBase (IMO form)'!AO31</f>
        <v>2 Mobile Phones, 1 Laptop, 3 HDD</v>
      </c>
      <c r="K34" s="1341"/>
      <c r="L34" s="1342"/>
      <c r="M34" s="1343"/>
      <c r="N34" s="1343"/>
    </row>
    <row r="35" spans="2:14" ht="73.5" customHeight="1" thickBot="1">
      <c r="B35" s="1019">
        <f>'DataBase (IMO form)'!B32</f>
        <v>25</v>
      </c>
      <c r="C35" s="1338" t="str">
        <f>'DataBase (IMO form)'!D32</f>
        <v>FLORES</v>
      </c>
      <c r="D35" s="1339"/>
      <c r="E35" s="1019" t="str">
        <f>'DataBase (IMO form)'!E32</f>
        <v>NORIEL</v>
      </c>
      <c r="F35" s="1019" t="str">
        <f>'DataBase (IMO form)'!C32</f>
        <v>WIPER</v>
      </c>
      <c r="G35" s="868" t="s">
        <v>417</v>
      </c>
      <c r="H35" s="1022"/>
      <c r="I35" s="869" t="s">
        <v>417</v>
      </c>
      <c r="J35" s="1340" t="str">
        <f>'DataBase (IMO form)'!AO32</f>
        <v>2 Mobile phones, 1 Watch</v>
      </c>
      <c r="K35" s="1341"/>
      <c r="L35" s="1342"/>
      <c r="M35" s="1343"/>
      <c r="N35" s="1343"/>
    </row>
    <row r="36" spans="2:14" ht="73.5" customHeight="1" thickBot="1">
      <c r="B36" s="1019">
        <f>'DataBase (IMO form)'!B33</f>
        <v>26</v>
      </c>
      <c r="C36" s="1338" t="str">
        <f>'DataBase (IMO form)'!D33</f>
        <v>ESTRABELA</v>
      </c>
      <c r="D36" s="1339"/>
      <c r="E36" s="1019" t="str">
        <f>'DataBase (IMO form)'!E33</f>
        <v>ARIES</v>
      </c>
      <c r="F36" s="1019" t="str">
        <f>'DataBase (IMO form)'!C33</f>
        <v>CHIEF COOK</v>
      </c>
      <c r="G36" s="868" t="s">
        <v>417</v>
      </c>
      <c r="H36" s="1022"/>
      <c r="I36" s="869" t="s">
        <v>417</v>
      </c>
      <c r="J36" s="1340" t="str">
        <f>'DataBase (IMO form)'!AO33</f>
        <v>2 Mobile Phones, 1 Laptop, 1 BT speaker, 1HDD, 3 USB</v>
      </c>
      <c r="K36" s="1341"/>
      <c r="L36" s="1342"/>
      <c r="M36" s="1343"/>
      <c r="N36" s="1343"/>
    </row>
    <row r="37" spans="2:14" ht="73.5" customHeight="1" thickBot="1">
      <c r="B37" s="1019">
        <f>'DataBase (IMO form)'!B34</f>
        <v>27</v>
      </c>
      <c r="C37" s="1338" t="str">
        <f>'DataBase (IMO form)'!D34</f>
        <v>ALLADO</v>
      </c>
      <c r="D37" s="1339"/>
      <c r="E37" s="1019" t="str">
        <f>'DataBase (IMO form)'!E34</f>
        <v>KEITH VINCENT</v>
      </c>
      <c r="F37" s="1019" t="str">
        <f>'DataBase (IMO form)'!C34</f>
        <v>ASS COOK</v>
      </c>
      <c r="G37" s="868" t="s">
        <v>417</v>
      </c>
      <c r="H37" s="1022"/>
      <c r="I37" s="869" t="s">
        <v>417</v>
      </c>
      <c r="J37" s="1344" t="s">
        <v>1010</v>
      </c>
      <c r="K37" s="1345"/>
      <c r="L37" s="1346"/>
      <c r="M37" s="1343"/>
      <c r="N37" s="1343"/>
    </row>
    <row r="38" spans="2:14" ht="73.5" customHeight="1" thickBot="1">
      <c r="B38" s="1019">
        <f>'DataBase (IMO form)'!B35</f>
        <v>28</v>
      </c>
      <c r="C38" s="1338" t="str">
        <f>'DataBase (IMO form)'!D35</f>
        <v>ABES</v>
      </c>
      <c r="D38" s="1339"/>
      <c r="E38" s="1019" t="str">
        <f>'DataBase (IMO form)'!E35</f>
        <v>JAMES DARWIN</v>
      </c>
      <c r="F38" s="1019" t="str">
        <f>'DataBase (IMO form)'!C35</f>
        <v>MSM</v>
      </c>
      <c r="G38" s="868" t="s">
        <v>417</v>
      </c>
      <c r="H38" s="1022"/>
      <c r="I38" s="869" t="s">
        <v>417</v>
      </c>
      <c r="J38" s="1340" t="str">
        <f>'DataBase (IMO form)'!AO35</f>
        <v xml:space="preserve">1 Mobile phone,1 Earphone, 1 Powerbank, 1 Smartwatch, 1 Speaker, OTG </v>
      </c>
      <c r="K38" s="1341"/>
      <c r="L38" s="1342"/>
      <c r="M38" s="1343"/>
      <c r="N38" s="1343"/>
    </row>
    <row r="39" spans="2:14" ht="24.75" customHeight="1">
      <c r="B39" s="1350" t="s">
        <v>379</v>
      </c>
      <c r="C39" s="1351"/>
      <c r="D39" s="1351"/>
      <c r="E39" s="1351"/>
      <c r="F39" s="1351"/>
      <c r="G39" s="1351"/>
      <c r="H39" s="1351"/>
      <c r="I39" s="1351"/>
      <c r="J39" s="1351"/>
      <c r="K39" s="1351"/>
      <c r="L39" s="1351"/>
      <c r="M39" s="1351"/>
      <c r="N39" s="1352"/>
    </row>
    <row r="40" spans="2:14" ht="4.5" customHeight="1">
      <c r="B40" s="1350"/>
      <c r="C40" s="1351"/>
      <c r="D40" s="1351"/>
      <c r="E40" s="1351"/>
      <c r="F40" s="1351"/>
      <c r="G40" s="1351"/>
      <c r="H40" s="1351"/>
      <c r="I40" s="1351"/>
      <c r="J40" s="1351"/>
      <c r="K40" s="1351"/>
      <c r="L40" s="1351"/>
      <c r="M40" s="1351"/>
      <c r="N40" s="1352"/>
    </row>
    <row r="41" spans="2:14" ht="11.25" customHeight="1">
      <c r="B41" s="1350"/>
      <c r="C41" s="1351"/>
      <c r="D41" s="1351"/>
      <c r="E41" s="1351"/>
      <c r="F41" s="1351"/>
      <c r="G41" s="1351"/>
      <c r="H41" s="1351"/>
      <c r="I41" s="1351"/>
      <c r="J41" s="1351"/>
      <c r="K41" s="1351"/>
      <c r="L41" s="1351"/>
      <c r="M41" s="1351"/>
      <c r="N41" s="1352"/>
    </row>
    <row r="42" spans="2:14" ht="16.5" customHeight="1">
      <c r="B42" s="1353">
        <f>M.Menu!L13</f>
        <v>46106</v>
      </c>
      <c r="C42" s="1354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2"/>
    </row>
    <row r="43" spans="2:14" ht="15" customHeight="1">
      <c r="B43" s="433"/>
      <c r="C43" s="434"/>
      <c r="D43" s="434"/>
      <c r="E43" s="434"/>
      <c r="F43" s="434"/>
      <c r="G43" s="434"/>
      <c r="H43" s="434"/>
      <c r="I43" s="434"/>
      <c r="J43" s="434"/>
      <c r="K43" s="434"/>
      <c r="L43" s="434"/>
      <c r="M43" s="434"/>
      <c r="N43" s="435"/>
    </row>
    <row r="44" spans="2:14" ht="5.25" customHeight="1">
      <c r="B44" s="436"/>
      <c r="C44" s="430"/>
      <c r="D44" s="430"/>
      <c r="E44" s="430"/>
      <c r="F44" s="430"/>
      <c r="G44" s="430"/>
      <c r="H44" s="430"/>
      <c r="I44" s="430"/>
      <c r="J44" s="430"/>
      <c r="K44" s="430"/>
      <c r="L44" s="430"/>
      <c r="M44" s="430"/>
      <c r="N44" s="432"/>
    </row>
    <row r="45" spans="2:14" hidden="1">
      <c r="B45" s="437"/>
      <c r="C45" s="430"/>
      <c r="D45" s="430"/>
      <c r="E45" s="430"/>
      <c r="F45" s="430"/>
      <c r="G45" s="430"/>
      <c r="H45" s="430"/>
      <c r="I45" s="430"/>
      <c r="J45" s="430"/>
      <c r="K45" s="430"/>
      <c r="L45" s="430"/>
      <c r="M45" s="430"/>
      <c r="N45" s="432"/>
    </row>
    <row r="46" spans="2:14" ht="20.25" customHeight="1">
      <c r="B46" s="437"/>
      <c r="C46" s="430"/>
      <c r="D46" s="430"/>
      <c r="E46" s="430"/>
      <c r="F46" s="430"/>
      <c r="G46" s="430"/>
      <c r="H46" s="430"/>
      <c r="I46" s="430"/>
      <c r="J46" s="430"/>
      <c r="K46" s="430"/>
      <c r="L46" s="1347" t="str">
        <f>M.Menu!S15</f>
        <v>CAPT. WENDT ROBERT</v>
      </c>
      <c r="M46" s="1348"/>
      <c r="N46" s="1349"/>
    </row>
    <row r="47" spans="2:14" ht="25.5" customHeight="1">
      <c r="B47" s="437"/>
      <c r="C47" s="430"/>
      <c r="D47" s="430"/>
      <c r="E47" s="430"/>
      <c r="F47" s="430"/>
      <c r="G47" s="430"/>
      <c r="H47" s="430"/>
      <c r="I47" s="430"/>
      <c r="J47" s="430"/>
      <c r="K47" s="430"/>
      <c r="L47" s="430"/>
      <c r="M47" s="441"/>
      <c r="N47" s="442" t="s">
        <v>440</v>
      </c>
    </row>
    <row r="48" spans="2:14" ht="24.75" customHeight="1" thickBot="1">
      <c r="B48" s="438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40"/>
    </row>
  </sheetData>
  <sheetProtection formatRows="0" selectLockedCells="1"/>
  <mergeCells count="103">
    <mergeCell ref="B1:N1"/>
    <mergeCell ref="B2:N2"/>
    <mergeCell ref="B3:N3"/>
    <mergeCell ref="B4:C5"/>
    <mergeCell ref="D4:I5"/>
    <mergeCell ref="J4:K5"/>
    <mergeCell ref="L4:N5"/>
    <mergeCell ref="C11:D11"/>
    <mergeCell ref="J11:L11"/>
    <mergeCell ref="M11:N11"/>
    <mergeCell ref="B6:C7"/>
    <mergeCell ref="D6:I7"/>
    <mergeCell ref="J6:K7"/>
    <mergeCell ref="L6:N7"/>
    <mergeCell ref="B8:C9"/>
    <mergeCell ref="C10:D10"/>
    <mergeCell ref="M10:N10"/>
    <mergeCell ref="J10:L10"/>
    <mergeCell ref="D8:N9"/>
    <mergeCell ref="C12:D12"/>
    <mergeCell ref="J12:L12"/>
    <mergeCell ref="M12:N12"/>
    <mergeCell ref="C17:D17"/>
    <mergeCell ref="J17:L17"/>
    <mergeCell ref="M17:N17"/>
    <mergeCell ref="C15:D15"/>
    <mergeCell ref="J15:L15"/>
    <mergeCell ref="M15:N15"/>
    <mergeCell ref="C16:D16"/>
    <mergeCell ref="J16:L16"/>
    <mergeCell ref="M16:N16"/>
    <mergeCell ref="C14:D14"/>
    <mergeCell ref="J14:L14"/>
    <mergeCell ref="M14:N14"/>
    <mergeCell ref="C13:D13"/>
    <mergeCell ref="J13:L13"/>
    <mergeCell ref="M13:N13"/>
    <mergeCell ref="J22:L22"/>
    <mergeCell ref="M22:N22"/>
    <mergeCell ref="C20:D20"/>
    <mergeCell ref="J20:L20"/>
    <mergeCell ref="M20:N20"/>
    <mergeCell ref="C21:D21"/>
    <mergeCell ref="J21:L21"/>
    <mergeCell ref="M21:N21"/>
    <mergeCell ref="C18:D18"/>
    <mergeCell ref="J18:L18"/>
    <mergeCell ref="M18:N18"/>
    <mergeCell ref="C19:D19"/>
    <mergeCell ref="J19:L19"/>
    <mergeCell ref="M19:N19"/>
    <mergeCell ref="C22:D22"/>
    <mergeCell ref="C36:D36"/>
    <mergeCell ref="M30:N30"/>
    <mergeCell ref="C27:D27"/>
    <mergeCell ref="J27:L27"/>
    <mergeCell ref="M27:N27"/>
    <mergeCell ref="C28:D28"/>
    <mergeCell ref="J28:L28"/>
    <mergeCell ref="M28:N28"/>
    <mergeCell ref="C33:D33"/>
    <mergeCell ref="J33:L33"/>
    <mergeCell ref="M33:N33"/>
    <mergeCell ref="C34:D34"/>
    <mergeCell ref="J34:L34"/>
    <mergeCell ref="M34:N34"/>
    <mergeCell ref="J36:L36"/>
    <mergeCell ref="M36:N36"/>
    <mergeCell ref="J30:L30"/>
    <mergeCell ref="C29:D29"/>
    <mergeCell ref="J29:L29"/>
    <mergeCell ref="M29:N29"/>
    <mergeCell ref="C30:D30"/>
    <mergeCell ref="C35:D35"/>
    <mergeCell ref="J35:L35"/>
    <mergeCell ref="M35:N35"/>
    <mergeCell ref="C38:D38"/>
    <mergeCell ref="J38:L38"/>
    <mergeCell ref="M38:N38"/>
    <mergeCell ref="C37:D37"/>
    <mergeCell ref="L46:N46"/>
    <mergeCell ref="J37:L37"/>
    <mergeCell ref="M37:N37"/>
    <mergeCell ref="B39:N41"/>
    <mergeCell ref="B42:C42"/>
    <mergeCell ref="C31:D31"/>
    <mergeCell ref="J31:L31"/>
    <mergeCell ref="M31:N31"/>
    <mergeCell ref="C32:D32"/>
    <mergeCell ref="J32:L32"/>
    <mergeCell ref="M32:N32"/>
    <mergeCell ref="C23:D23"/>
    <mergeCell ref="J23:L23"/>
    <mergeCell ref="M23:N23"/>
    <mergeCell ref="C24:D24"/>
    <mergeCell ref="J24:L24"/>
    <mergeCell ref="M24:N24"/>
    <mergeCell ref="C25:D25"/>
    <mergeCell ref="J25:L25"/>
    <mergeCell ref="M25:N25"/>
    <mergeCell ref="C26:D26"/>
    <mergeCell ref="J26:L26"/>
    <mergeCell ref="M26:N26"/>
  </mergeCells>
  <printOptions horizontalCentered="1"/>
  <pageMargins left="0.25" right="0.25" top="0.75" bottom="0.75" header="0.3" footer="0.3"/>
  <pageSetup paperSize="9" scale="37" firstPageNumber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2">
    <tabColor rgb="FFC00000"/>
    <pageSetUpPr fitToPage="1"/>
  </sheetPr>
  <dimension ref="B1:I60"/>
  <sheetViews>
    <sheetView showGridLines="0" showZeros="0" view="pageBreakPreview" zoomScale="70" zoomScaleNormal="100" zoomScaleSheetLayoutView="70" workbookViewId="0">
      <pane xSplit="9" ySplit="1" topLeftCell="L2" activePane="bottomRight" state="frozen"/>
      <selection pane="topRight" activeCell="I1" sqref="I1"/>
      <selection pane="bottomLeft" activeCell="A2" sqref="A2"/>
      <selection pane="bottomRight" activeCell="F34" sqref="F34"/>
    </sheetView>
  </sheetViews>
  <sheetFormatPr defaultColWidth="11.42578125" defaultRowHeight="12.75"/>
  <cols>
    <col min="1" max="1" width="9.140625" style="610" customWidth="1"/>
    <col min="2" max="2" width="6.7109375" style="624" customWidth="1"/>
    <col min="3" max="3" width="20.5703125" style="610" customWidth="1"/>
    <col min="4" max="4" width="25.140625" style="624" customWidth="1"/>
    <col min="5" max="5" width="17.85546875" style="624" customWidth="1"/>
    <col min="6" max="7" width="16.5703125" style="625" customWidth="1"/>
    <col min="8" max="8" width="24" style="624" customWidth="1"/>
    <col min="9" max="9" width="20.28515625" style="624" customWidth="1"/>
    <col min="10" max="10" width="0.7109375" style="610" customWidth="1"/>
    <col min="11" max="16384" width="11.42578125" style="610"/>
  </cols>
  <sheetData>
    <row r="1" spans="2:9" ht="27.75" customHeight="1">
      <c r="B1" s="610"/>
      <c r="D1" s="610"/>
      <c r="E1" s="610"/>
      <c r="F1" s="611"/>
      <c r="G1" s="611"/>
      <c r="H1" s="610"/>
      <c r="I1" s="610"/>
    </row>
    <row r="2" spans="2:9" ht="27.75" customHeight="1">
      <c r="B2" s="1374" t="s">
        <v>0</v>
      </c>
      <c r="C2" s="1375"/>
      <c r="D2" s="1375"/>
      <c r="E2" s="1375"/>
      <c r="F2" s="1375"/>
      <c r="G2" s="1375"/>
      <c r="H2" s="1375"/>
      <c r="I2" s="1376"/>
    </row>
    <row r="3" spans="2:9" ht="24.75" customHeight="1">
      <c r="B3" s="1381" t="s">
        <v>120</v>
      </c>
      <c r="C3" s="1382"/>
      <c r="D3" s="1382"/>
      <c r="E3" s="1382"/>
      <c r="F3" s="1382"/>
      <c r="G3" s="1382"/>
      <c r="H3" s="1382"/>
      <c r="I3" s="1383"/>
    </row>
    <row r="4" spans="2:9" ht="18.75" customHeight="1">
      <c r="B4" s="686"/>
      <c r="C4" s="612"/>
      <c r="D4" s="613"/>
      <c r="E4" s="613"/>
      <c r="F4" s="614"/>
      <c r="G4" s="614"/>
      <c r="H4" s="615"/>
      <c r="I4" s="687"/>
    </row>
    <row r="5" spans="2:9" s="616" customFormat="1" ht="18.75" customHeight="1">
      <c r="B5" s="1377" t="s">
        <v>93</v>
      </c>
      <c r="C5" s="1377"/>
      <c r="D5" s="1377"/>
      <c r="E5" s="1224" t="s">
        <v>163</v>
      </c>
      <c r="F5" s="1370"/>
      <c r="G5" s="1226"/>
      <c r="H5" s="1377" t="s">
        <v>227</v>
      </c>
      <c r="I5" s="1377"/>
    </row>
    <row r="6" spans="2:9" s="617" customFormat="1" ht="18.75" customHeight="1">
      <c r="B6" s="1380" t="str">
        <f>M.Menu!E5&amp;" "&amp;M.Menu!E3</f>
        <v>LNG/C Energy Endurance</v>
      </c>
      <c r="C6" s="1380"/>
      <c r="D6" s="1380"/>
      <c r="E6" s="1385">
        <f>M.Menu!L3</f>
        <v>9948695</v>
      </c>
      <c r="F6" s="1386"/>
      <c r="G6" s="1387"/>
      <c r="H6" s="1379" t="str">
        <f>M.Menu!L11&amp;", "&amp;M.Menu!L12</f>
        <v>Sabine Pass, U.S.A.</v>
      </c>
      <c r="I6" s="1379"/>
    </row>
    <row r="7" spans="2:9" s="616" customFormat="1" ht="18.75" customHeight="1">
      <c r="B7" s="1377" t="s">
        <v>49</v>
      </c>
      <c r="C7" s="1377"/>
      <c r="D7" s="1377"/>
      <c r="E7" s="1224" t="s">
        <v>132</v>
      </c>
      <c r="F7" s="1370"/>
      <c r="G7" s="1226"/>
      <c r="H7" s="1377" t="s">
        <v>153</v>
      </c>
      <c r="I7" s="1377"/>
    </row>
    <row r="8" spans="2:9" s="617" customFormat="1" ht="18.75" customHeight="1">
      <c r="B8" s="1378" t="str">
        <f>M.Menu!L8</f>
        <v>Marshall Islands</v>
      </c>
      <c r="C8" s="1379"/>
      <c r="D8" s="1379"/>
      <c r="E8" s="1371" t="str">
        <f>M.Menu!E4</f>
        <v>V7A7282</v>
      </c>
      <c r="F8" s="1372"/>
      <c r="G8" s="1373"/>
      <c r="H8" s="1384">
        <f>M.Menu!L13</f>
        <v>46106</v>
      </c>
      <c r="I8" s="1384"/>
    </row>
    <row r="9" spans="2:9" ht="18.75" customHeight="1">
      <c r="B9" s="688"/>
      <c r="C9" s="612"/>
      <c r="D9" s="689"/>
      <c r="E9" s="690"/>
      <c r="F9" s="618"/>
      <c r="G9" s="618"/>
      <c r="H9" s="619"/>
      <c r="I9" s="691"/>
    </row>
    <row r="10" spans="2:9" s="622" customFormat="1" ht="32.25" customHeight="1">
      <c r="B10" s="620" t="s">
        <v>44</v>
      </c>
      <c r="C10" s="692" t="s">
        <v>46</v>
      </c>
      <c r="D10" s="692" t="s">
        <v>47</v>
      </c>
      <c r="E10" s="693" t="s">
        <v>45</v>
      </c>
      <c r="F10" s="694" t="s">
        <v>470</v>
      </c>
      <c r="G10" s="694" t="s">
        <v>471</v>
      </c>
      <c r="H10" s="693" t="s">
        <v>2</v>
      </c>
      <c r="I10" s="621" t="s">
        <v>139</v>
      </c>
    </row>
    <row r="11" spans="2:9" ht="26.1" customHeight="1">
      <c r="B11" s="666">
        <f>'DataBase (IMO form)'!B8</f>
        <v>1</v>
      </c>
      <c r="C11" s="667" t="str">
        <f>'DataBase (IMO form)'!D8</f>
        <v xml:space="preserve">WENDT </v>
      </c>
      <c r="D11" s="667" t="str">
        <f>'DataBase (IMO form)'!E8</f>
        <v>ROBERT KRZYSZTOF</v>
      </c>
      <c r="E11" s="668" t="str">
        <f>'DataBase (IMO form)'!C8</f>
        <v>MASTER</v>
      </c>
      <c r="F11" s="669">
        <f>'DataBase (IMO form)'!AL8</f>
        <v>0</v>
      </c>
      <c r="G11" s="669">
        <f>'DataBase (IMO form)'!AM8</f>
        <v>0</v>
      </c>
      <c r="H11" s="669">
        <f>'DataBase (IMO form)'!AN8</f>
        <v>0</v>
      </c>
      <c r="I11" s="663"/>
    </row>
    <row r="12" spans="2:9" ht="26.1" customHeight="1">
      <c r="B12" s="666">
        <f>'DataBase (IMO form)'!B9</f>
        <v>2</v>
      </c>
      <c r="C12" s="667" t="str">
        <f>'DataBase (IMO form)'!D9</f>
        <v>THANASIS</v>
      </c>
      <c r="D12" s="667" t="str">
        <f>'DataBase (IMO form)'!E9</f>
        <v>EVANGELOS</v>
      </c>
      <c r="E12" s="668" t="str">
        <f>'DataBase (IMO form)'!C9</f>
        <v>CHIEF OFF</v>
      </c>
      <c r="F12" s="669">
        <f>'DataBase (IMO form)'!AL9</f>
        <v>0</v>
      </c>
      <c r="G12" s="669">
        <f>'DataBase (IMO form)'!AM9</f>
        <v>0</v>
      </c>
      <c r="H12" s="669">
        <f>'DataBase (IMO form)'!AN9</f>
        <v>0</v>
      </c>
      <c r="I12" s="685"/>
    </row>
    <row r="13" spans="2:9" ht="26.1" customHeight="1">
      <c r="B13" s="666">
        <f>'DataBase (IMO form)'!B11</f>
        <v>4</v>
      </c>
      <c r="C13" s="667" t="str">
        <f>'DataBase (IMO form)'!D11</f>
        <v>BUTS</v>
      </c>
      <c r="D13" s="667" t="str">
        <f>'DataBase (IMO form)'!E11</f>
        <v>KOSTIANTYN</v>
      </c>
      <c r="E13" s="668" t="str">
        <f>'DataBase (IMO form)'!C11</f>
        <v>2ND OFF</v>
      </c>
      <c r="F13" s="669">
        <f>'DataBase (IMO form)'!AL11</f>
        <v>0</v>
      </c>
      <c r="G13" s="669">
        <f>'DataBase (IMO form)'!AM11</f>
        <v>0</v>
      </c>
      <c r="H13" s="669">
        <f>'DataBase (IMO form)'!AN11</f>
        <v>0</v>
      </c>
      <c r="I13" s="663"/>
    </row>
    <row r="14" spans="2:9" ht="26.1" customHeight="1">
      <c r="B14" s="666">
        <f>'DataBase (IMO form)'!B12</f>
        <v>5</v>
      </c>
      <c r="C14" s="667" t="str">
        <f>'DataBase (IMO form)'!D12</f>
        <v xml:space="preserve">STAMATIOU </v>
      </c>
      <c r="D14" s="667" t="str">
        <f>'DataBase (IMO form)'!E12</f>
        <v>VASILEIOS</v>
      </c>
      <c r="E14" s="668" t="str">
        <f>'DataBase (IMO form)'!C12</f>
        <v>3RD OFF</v>
      </c>
      <c r="F14" s="669">
        <f>'DataBase (IMO form)'!AL12</f>
        <v>0</v>
      </c>
      <c r="G14" s="669">
        <f>'DataBase (IMO form)'!AM12</f>
        <v>0</v>
      </c>
      <c r="H14" s="669">
        <f>'DataBase (IMO form)'!AN12</f>
        <v>0</v>
      </c>
      <c r="I14" s="663"/>
    </row>
    <row r="15" spans="2:9" ht="26.1" customHeight="1">
      <c r="B15" s="666">
        <f>'DataBase (IMO form)'!B13</f>
        <v>6</v>
      </c>
      <c r="C15" s="667" t="str">
        <f>'DataBase (IMO form)'!D13</f>
        <v>KOUIMOV</v>
      </c>
      <c r="D15" s="667" t="str">
        <f>'DataBase (IMO form)'!E13</f>
        <v>ENTOUARNT OR EDUARD</v>
      </c>
      <c r="E15" s="668" t="str">
        <f>'DataBase (IMO form)'!C13</f>
        <v xml:space="preserve">3RD OFF </v>
      </c>
      <c r="F15" s="669">
        <f>'DataBase (IMO form)'!AL13</f>
        <v>0</v>
      </c>
      <c r="G15" s="669">
        <f>'DataBase (IMO form)'!AM13</f>
        <v>0</v>
      </c>
      <c r="H15" s="669">
        <f>'DataBase (IMO form)'!AN13</f>
        <v>0</v>
      </c>
      <c r="I15" s="663"/>
    </row>
    <row r="16" spans="2:9" ht="26.1" customHeight="1">
      <c r="B16" s="666">
        <f>'DataBase (IMO form)'!B14</f>
        <v>7</v>
      </c>
      <c r="C16" s="667" t="str">
        <f>'DataBase (IMO form)'!D14</f>
        <v>CHATZIDIMITRIOU</v>
      </c>
      <c r="D16" s="667" t="str">
        <f>'DataBase (IMO form)'!E14</f>
        <v>MARIA</v>
      </c>
      <c r="E16" s="668" t="str">
        <f>'DataBase (IMO form)'!C14</f>
        <v>DECK CADET</v>
      </c>
      <c r="F16" s="669">
        <f>'DataBase (IMO form)'!AL14</f>
        <v>0</v>
      </c>
      <c r="G16" s="669">
        <f>'DataBase (IMO form)'!AM14</f>
        <v>0</v>
      </c>
      <c r="H16" s="669">
        <f>'DataBase (IMO form)'!AN14</f>
        <v>0</v>
      </c>
      <c r="I16" s="663"/>
    </row>
    <row r="17" spans="2:9" ht="26.1" customHeight="1">
      <c r="B17" s="666">
        <f>'DataBase (IMO form)'!B15</f>
        <v>8</v>
      </c>
      <c r="C17" s="667" t="str">
        <f>'DataBase (IMO form)'!D15</f>
        <v xml:space="preserve">PETROPOULOS </v>
      </c>
      <c r="D17" s="667" t="str">
        <f>'DataBase (IMO form)'!E15</f>
        <v>CHRISTOS</v>
      </c>
      <c r="E17" s="668" t="str">
        <f>'DataBase (IMO form)'!C15</f>
        <v>CHIEF ENG</v>
      </c>
      <c r="F17" s="669">
        <f>'DataBase (IMO form)'!AL15</f>
        <v>0</v>
      </c>
      <c r="G17" s="669">
        <f>'DataBase (IMO form)'!AM15</f>
        <v>0</v>
      </c>
      <c r="H17" s="669">
        <f>'DataBase (IMO form)'!AN15</f>
        <v>0</v>
      </c>
      <c r="I17" s="663"/>
    </row>
    <row r="18" spans="2:9" ht="26.1" customHeight="1">
      <c r="B18" s="666">
        <f>'DataBase (IMO form)'!B16</f>
        <v>9</v>
      </c>
      <c r="C18" s="667" t="str">
        <f>'DataBase (IMO form)'!D16</f>
        <v>SYTNYK</v>
      </c>
      <c r="D18" s="667" t="str">
        <f>'DataBase (IMO form)'!E16</f>
        <v xml:space="preserve">YEVGENIY </v>
      </c>
      <c r="E18" s="668" t="str">
        <f>'DataBase (IMO form)'!C16</f>
        <v>2ND ENG</v>
      </c>
      <c r="F18" s="669">
        <f>'DataBase (IMO form)'!AL16</f>
        <v>0</v>
      </c>
      <c r="G18" s="669">
        <f>'DataBase (IMO form)'!AM16</f>
        <v>0</v>
      </c>
      <c r="H18" s="669">
        <f>'DataBase (IMO form)'!AN16</f>
        <v>0</v>
      </c>
      <c r="I18" s="663"/>
    </row>
    <row r="19" spans="2:9" s="623" customFormat="1" ht="26.1" customHeight="1">
      <c r="B19" s="666">
        <f>'DataBase (IMO form)'!B17</f>
        <v>10</v>
      </c>
      <c r="C19" s="667" t="str">
        <f>'DataBase (IMO form)'!D17</f>
        <v>KACHUR</v>
      </c>
      <c r="D19" s="667" t="str">
        <f>'DataBase (IMO form)'!E17</f>
        <v>MYKOLA</v>
      </c>
      <c r="E19" s="668" t="str">
        <f>'DataBase (IMO form)'!C17</f>
        <v>3RD ENG</v>
      </c>
      <c r="F19" s="669">
        <f>'DataBase (IMO form)'!AL17</f>
        <v>0</v>
      </c>
      <c r="G19" s="669">
        <f>'DataBase (IMO form)'!AM17</f>
        <v>0</v>
      </c>
      <c r="H19" s="669">
        <f>'DataBase (IMO form)'!AN17</f>
        <v>0</v>
      </c>
      <c r="I19" s="665"/>
    </row>
    <row r="20" spans="2:9" ht="26.1" customHeight="1">
      <c r="B20" s="666">
        <f>'DataBase (IMO form)'!B18</f>
        <v>11</v>
      </c>
      <c r="C20" s="667" t="e">
        <f>'DataBase (IMO form)'!#REF!</f>
        <v>#REF!</v>
      </c>
      <c r="D20" s="667" t="e">
        <f>'DataBase (IMO form)'!#REF!</f>
        <v>#REF!</v>
      </c>
      <c r="E20" s="668" t="str">
        <f>'DataBase (IMO form)'!C18</f>
        <v>3RD ENG</v>
      </c>
      <c r="F20" s="669">
        <f>'DataBase (IMO form)'!AL18</f>
        <v>0</v>
      </c>
      <c r="G20" s="669">
        <f>'DataBase (IMO form)'!AM18</f>
        <v>0</v>
      </c>
      <c r="H20" s="669">
        <f>'DataBase (IMO form)'!AN18</f>
        <v>0</v>
      </c>
      <c r="I20" s="663"/>
    </row>
    <row r="21" spans="2:9" ht="26.1" customHeight="1">
      <c r="B21" s="666" t="e">
        <f>'DataBase (IMO form)'!#REF!</f>
        <v>#REF!</v>
      </c>
      <c r="C21" s="667" t="e">
        <f>'DataBase (IMO form)'!#REF!</f>
        <v>#REF!</v>
      </c>
      <c r="D21" s="667" t="e">
        <f>'DataBase (IMO form)'!#REF!</f>
        <v>#REF!</v>
      </c>
      <c r="E21" s="668" t="e">
        <f>'DataBase (IMO form)'!#REF!</f>
        <v>#REF!</v>
      </c>
      <c r="F21" s="669" t="e">
        <f>'DataBase (IMO form)'!#REF!</f>
        <v>#REF!</v>
      </c>
      <c r="G21" s="669" t="e">
        <f>'DataBase (IMO form)'!#REF!</f>
        <v>#REF!</v>
      </c>
      <c r="H21" s="669" t="e">
        <f>'DataBase (IMO form)'!#REF!</f>
        <v>#REF!</v>
      </c>
      <c r="I21" s="663"/>
    </row>
    <row r="22" spans="2:9" ht="26.1" customHeight="1">
      <c r="B22" s="666">
        <f>'DataBase (IMO form)'!B20</f>
        <v>13</v>
      </c>
      <c r="C22" s="667" t="str">
        <f>'DataBase (IMO form)'!D20</f>
        <v>YEMELIANOV</v>
      </c>
      <c r="D22" s="667" t="str">
        <f>'DataBase (IMO form)'!E20</f>
        <v>RICHARD</v>
      </c>
      <c r="E22" s="668" t="str">
        <f>'DataBase (IMO form)'!C20</f>
        <v xml:space="preserve">GAS ENG </v>
      </c>
      <c r="F22" s="669">
        <f>'DataBase (IMO form)'!AL20</f>
        <v>0</v>
      </c>
      <c r="G22" s="669">
        <f>'DataBase (IMO form)'!AM20</f>
        <v>0</v>
      </c>
      <c r="H22" s="669">
        <f>'DataBase (IMO form)'!AN20</f>
        <v>0</v>
      </c>
      <c r="I22" s="663"/>
    </row>
    <row r="23" spans="2:9" ht="26.1" customHeight="1">
      <c r="B23" s="666">
        <f>'DataBase (IMO form)'!B21</f>
        <v>14</v>
      </c>
      <c r="C23" s="667" t="str">
        <f>'DataBase (IMO form)'!D21</f>
        <v>GIDEI</v>
      </c>
      <c r="D23" s="667" t="str">
        <f>'DataBase (IMO form)'!E21</f>
        <v>NICOLAE</v>
      </c>
      <c r="E23" s="668" t="str">
        <f>'DataBase (IMO form)'!C21</f>
        <v>SETO</v>
      </c>
      <c r="F23" s="669">
        <f>'DataBase (IMO form)'!AL21</f>
        <v>0</v>
      </c>
      <c r="G23" s="669">
        <f>'DataBase (IMO form)'!AM21</f>
        <v>0</v>
      </c>
      <c r="H23" s="669">
        <f>'DataBase (IMO form)'!AN21</f>
        <v>0</v>
      </c>
      <c r="I23" s="663"/>
    </row>
    <row r="24" spans="2:9" ht="26.1" customHeight="1">
      <c r="B24" s="666" t="e">
        <f>'DataBase (IMO form)'!#REF!</f>
        <v>#REF!</v>
      </c>
      <c r="C24" s="667" t="str">
        <f>'DataBase (IMO form)'!D18</f>
        <v>COLEASA</v>
      </c>
      <c r="D24" s="667" t="str">
        <f>'DataBase (IMO form)'!E18</f>
        <v>STEFAN  CIPRIAN</v>
      </c>
      <c r="E24" s="668" t="e">
        <f>'DataBase (IMO form)'!#REF!</f>
        <v>#REF!</v>
      </c>
      <c r="F24" s="669" t="e">
        <f>'DataBase (IMO form)'!#REF!</f>
        <v>#REF!</v>
      </c>
      <c r="G24" s="669" t="e">
        <f>'DataBase (IMO form)'!#REF!</f>
        <v>#REF!</v>
      </c>
      <c r="H24" s="669" t="e">
        <f>'DataBase (IMO form)'!#REF!</f>
        <v>#REF!</v>
      </c>
      <c r="I24" s="663"/>
    </row>
    <row r="25" spans="2:9" ht="26.1" customHeight="1">
      <c r="B25" s="666">
        <f>'DataBase (IMO form)'!B22</f>
        <v>15</v>
      </c>
      <c r="C25" s="667" t="str">
        <f>'DataBase (IMO form)'!D22</f>
        <v>LADINES</v>
      </c>
      <c r="D25" s="667" t="str">
        <f>'DataBase (IMO form)'!E22</f>
        <v>RODOLFO JR.</v>
      </c>
      <c r="E25" s="668" t="str">
        <f>'DataBase (IMO form)'!C22</f>
        <v>BOSUN</v>
      </c>
      <c r="F25" s="669">
        <f>'DataBase (IMO form)'!AL22</f>
        <v>0</v>
      </c>
      <c r="G25" s="669">
        <f>'DataBase (IMO form)'!AM22</f>
        <v>0</v>
      </c>
      <c r="H25" s="669">
        <f>'DataBase (IMO form)'!AN22</f>
        <v>0</v>
      </c>
      <c r="I25" s="663"/>
    </row>
    <row r="26" spans="2:9" ht="26.1" customHeight="1">
      <c r="B26" s="666">
        <f>'DataBase (IMO form)'!B23</f>
        <v>16</v>
      </c>
      <c r="C26" s="667" t="str">
        <f>'DataBase (IMO form)'!D23</f>
        <v xml:space="preserve">LUPAZ </v>
      </c>
      <c r="D26" s="667" t="str">
        <f>'DataBase (IMO form)'!E23</f>
        <v>ALBERTO JR.</v>
      </c>
      <c r="E26" s="668" t="str">
        <f>'DataBase (IMO form)'!C23</f>
        <v>AB</v>
      </c>
      <c r="F26" s="669">
        <f>'DataBase (IMO form)'!AL23</f>
        <v>0</v>
      </c>
      <c r="G26" s="669">
        <f>'DataBase (IMO form)'!AM23</f>
        <v>0</v>
      </c>
      <c r="H26" s="669">
        <f>'DataBase (IMO form)'!AN23</f>
        <v>0</v>
      </c>
      <c r="I26" s="663"/>
    </row>
    <row r="27" spans="2:9" ht="26.1" customHeight="1">
      <c r="B27" s="666">
        <f>'DataBase (IMO form)'!B24</f>
        <v>17</v>
      </c>
      <c r="C27" s="667" t="str">
        <f>'DataBase (IMO form)'!D24</f>
        <v xml:space="preserve">PALERACIO </v>
      </c>
      <c r="D27" s="667" t="str">
        <f>'DataBase (IMO form)'!E24</f>
        <v>JOHN CALLED</v>
      </c>
      <c r="E27" s="668" t="str">
        <f>'DataBase (IMO form)'!C24</f>
        <v>AB</v>
      </c>
      <c r="F27" s="669">
        <f>'DataBase (IMO form)'!AL24</f>
        <v>0</v>
      </c>
      <c r="G27" s="669">
        <f>'DataBase (IMO form)'!AM24</f>
        <v>0</v>
      </c>
      <c r="H27" s="669">
        <f>'DataBase (IMO form)'!AN24</f>
        <v>0</v>
      </c>
      <c r="I27" s="663"/>
    </row>
    <row r="28" spans="2:9" ht="26.1" customHeight="1">
      <c r="B28" s="666">
        <f>'DataBase (IMO form)'!B25</f>
        <v>18</v>
      </c>
      <c r="C28" s="667" t="str">
        <f>'DataBase (IMO form)'!D25</f>
        <v xml:space="preserve">RUFON </v>
      </c>
      <c r="D28" s="667" t="str">
        <f>'DataBase (IMO form)'!E25</f>
        <v>NOEL III</v>
      </c>
      <c r="E28" s="668" t="str">
        <f>'DataBase (IMO form)'!C25</f>
        <v>AB</v>
      </c>
      <c r="F28" s="669">
        <f>'DataBase (IMO form)'!AL25</f>
        <v>0</v>
      </c>
      <c r="G28" s="669">
        <f>'DataBase (IMO form)'!AM25</f>
        <v>0</v>
      </c>
      <c r="H28" s="669">
        <f>'DataBase (IMO form)'!AN25</f>
        <v>0</v>
      </c>
      <c r="I28" s="663"/>
    </row>
    <row r="29" spans="2:9" ht="26.1" customHeight="1">
      <c r="B29" s="666">
        <f>'DataBase (IMO form)'!B27</f>
        <v>20</v>
      </c>
      <c r="C29" s="667" t="str">
        <f>'DataBase (IMO form)'!D27</f>
        <v>ACULIT</v>
      </c>
      <c r="D29" s="667" t="str">
        <f>'DataBase (IMO form)'!E27</f>
        <v>MIKE LISLIE</v>
      </c>
      <c r="E29" s="668" t="str">
        <f>'DataBase (IMO form)'!C27</f>
        <v>OS</v>
      </c>
      <c r="F29" s="669">
        <f>'DataBase (IMO form)'!AL27</f>
        <v>0</v>
      </c>
      <c r="G29" s="669">
        <f>'DataBase (IMO form)'!AM27</f>
        <v>0</v>
      </c>
      <c r="H29" s="669">
        <f>'DataBase (IMO form)'!AN27</f>
        <v>0</v>
      </c>
      <c r="I29" s="663"/>
    </row>
    <row r="30" spans="2:9" ht="26.1" customHeight="1">
      <c r="B30" s="666">
        <f>'DataBase (IMO form)'!B28</f>
        <v>21</v>
      </c>
      <c r="C30" s="667" t="str">
        <f>'DataBase (IMO form)'!D28</f>
        <v>DOMONDON</v>
      </c>
      <c r="D30" s="667" t="str">
        <f>'DataBase (IMO form)'!E28</f>
        <v>DEXTER</v>
      </c>
      <c r="E30" s="668" t="str">
        <f>'DataBase (IMO form)'!C28</f>
        <v>OS</v>
      </c>
      <c r="F30" s="669">
        <f>'DataBase (IMO form)'!AL28</f>
        <v>0</v>
      </c>
      <c r="G30" s="669">
        <f>'DataBase (IMO form)'!AM28</f>
        <v>0</v>
      </c>
      <c r="H30" s="669">
        <f>'DataBase (IMO form)'!AN28</f>
        <v>0</v>
      </c>
      <c r="I30" s="663"/>
    </row>
    <row r="31" spans="2:9" ht="26.1" customHeight="1">
      <c r="B31" s="666">
        <f>'DataBase (IMO form)'!B29</f>
        <v>22</v>
      </c>
      <c r="C31" s="667" t="str">
        <f>'DataBase (IMO form)'!D29</f>
        <v>DACANAY</v>
      </c>
      <c r="D31" s="667" t="str">
        <f>'DataBase (IMO form)'!E29</f>
        <v>JAYSON</v>
      </c>
      <c r="E31" s="668" t="str">
        <f>'DataBase (IMO form)'!C29</f>
        <v>FITTER</v>
      </c>
      <c r="F31" s="669">
        <f>'DataBase (IMO form)'!AL29</f>
        <v>0</v>
      </c>
      <c r="G31" s="669">
        <f>'DataBase (IMO form)'!AM29</f>
        <v>0</v>
      </c>
      <c r="H31" s="669">
        <f>'DataBase (IMO form)'!AN29</f>
        <v>0</v>
      </c>
      <c r="I31" s="663"/>
    </row>
    <row r="32" spans="2:9" ht="25.5" customHeight="1">
      <c r="B32" s="666">
        <f>'DataBase (IMO form)'!B30</f>
        <v>23</v>
      </c>
      <c r="C32" s="667" t="str">
        <f>'DataBase (IMO form)'!D30</f>
        <v>APID</v>
      </c>
      <c r="D32" s="667" t="str">
        <f>'DataBase (IMO form)'!E30</f>
        <v>LORD BYRON</v>
      </c>
      <c r="E32" s="668" t="str">
        <f>'DataBase (IMO form)'!C30</f>
        <v>MTM</v>
      </c>
      <c r="F32" s="669">
        <f>'DataBase (IMO form)'!AL30</f>
        <v>0</v>
      </c>
      <c r="G32" s="669">
        <f>'DataBase (IMO form)'!AM30</f>
        <v>0</v>
      </c>
      <c r="H32" s="669">
        <f>'DataBase (IMO form)'!AN30</f>
        <v>0</v>
      </c>
      <c r="I32" s="663"/>
    </row>
    <row r="33" spans="2:9" ht="25.5" customHeight="1">
      <c r="B33" s="666">
        <f>'DataBase (IMO form)'!B31</f>
        <v>24</v>
      </c>
      <c r="C33" s="667" t="str">
        <f>'DataBase (IMO form)'!D31</f>
        <v>BRILLANTES</v>
      </c>
      <c r="D33" s="667" t="str">
        <f>'DataBase (IMO form)'!E31</f>
        <v>FER ANN</v>
      </c>
      <c r="E33" s="668" t="str">
        <f>'DataBase (IMO form)'!C31</f>
        <v>MTM</v>
      </c>
      <c r="F33" s="669">
        <f>'DataBase (IMO form)'!AL31</f>
        <v>0</v>
      </c>
      <c r="G33" s="669">
        <f>'DataBase (IMO form)'!AM31</f>
        <v>0</v>
      </c>
      <c r="H33" s="669">
        <f>'DataBase (IMO form)'!AN31</f>
        <v>0</v>
      </c>
      <c r="I33" s="663"/>
    </row>
    <row r="34" spans="2:9" ht="25.5" customHeight="1">
      <c r="B34" s="666">
        <f>'DataBase (IMO form)'!B32</f>
        <v>25</v>
      </c>
      <c r="C34" s="667" t="str">
        <f>'DataBase (IMO form)'!D32</f>
        <v>FLORES</v>
      </c>
      <c r="D34" s="667" t="str">
        <f>'DataBase (IMO form)'!E32</f>
        <v>NORIEL</v>
      </c>
      <c r="E34" s="668" t="str">
        <f>'DataBase (IMO form)'!C32</f>
        <v>WIPER</v>
      </c>
      <c r="F34" s="669">
        <f>'DataBase (IMO form)'!AL32</f>
        <v>0</v>
      </c>
      <c r="G34" s="669">
        <f>'DataBase (IMO form)'!AM32</f>
        <v>0</v>
      </c>
      <c r="H34" s="669">
        <f>'DataBase (IMO form)'!AN32</f>
        <v>0</v>
      </c>
      <c r="I34" s="663"/>
    </row>
    <row r="35" spans="2:9" ht="25.5" customHeight="1">
      <c r="B35" s="666">
        <f>'DataBase (IMO form)'!B33</f>
        <v>26</v>
      </c>
      <c r="C35" s="667" t="str">
        <f>'DataBase (IMO form)'!D33</f>
        <v>ESTRABELA</v>
      </c>
      <c r="D35" s="667" t="str">
        <f>'DataBase (IMO form)'!E33</f>
        <v>ARIES</v>
      </c>
      <c r="E35" s="668" t="str">
        <f>'DataBase (IMO form)'!C33</f>
        <v>CHIEF COOK</v>
      </c>
      <c r="F35" s="669">
        <f>'DataBase (IMO form)'!AL33</f>
        <v>0</v>
      </c>
      <c r="G35" s="669">
        <f>'DataBase (IMO form)'!AM33</f>
        <v>0</v>
      </c>
      <c r="H35" s="669">
        <f>'DataBase (IMO form)'!AN33</f>
        <v>0</v>
      </c>
      <c r="I35" s="663"/>
    </row>
    <row r="36" spans="2:9" ht="25.5" customHeight="1">
      <c r="B36" s="666">
        <f>'DataBase (IMO form)'!B34</f>
        <v>27</v>
      </c>
      <c r="C36" s="667" t="str">
        <f>'DataBase (IMO form)'!D34</f>
        <v>ALLADO</v>
      </c>
      <c r="D36" s="667" t="str">
        <f>'DataBase (IMO form)'!E34</f>
        <v>KEITH VINCENT</v>
      </c>
      <c r="E36" s="668" t="str">
        <f>'DataBase (IMO form)'!C34</f>
        <v>ASS COOK</v>
      </c>
      <c r="F36" s="669">
        <f>'DataBase (IMO form)'!AL34</f>
        <v>0</v>
      </c>
      <c r="G36" s="669">
        <f>'DataBase (IMO form)'!AM34</f>
        <v>0</v>
      </c>
      <c r="H36" s="669">
        <f>'DataBase (IMO form)'!AN34</f>
        <v>0</v>
      </c>
      <c r="I36" s="663"/>
    </row>
    <row r="37" spans="2:9" ht="14.25">
      <c r="B37" s="666">
        <f>'DataBase (IMO form)'!B35</f>
        <v>28</v>
      </c>
      <c r="C37" s="667" t="str">
        <f>'DataBase (IMO form)'!D35</f>
        <v>ABES</v>
      </c>
      <c r="D37" s="667" t="str">
        <f>'DataBase (IMO form)'!E35</f>
        <v>JAMES DARWIN</v>
      </c>
      <c r="E37" s="668" t="str">
        <f>'DataBase (IMO form)'!C35</f>
        <v>MSM</v>
      </c>
      <c r="F37" s="669">
        <f>'DataBase (IMO form)'!AL35</f>
        <v>0</v>
      </c>
      <c r="G37" s="669">
        <f>'DataBase (IMO form)'!AM35</f>
        <v>0</v>
      </c>
      <c r="H37" s="669">
        <f>'DataBase (IMO form)'!AN35</f>
        <v>0</v>
      </c>
      <c r="I37" s="663"/>
    </row>
    <row r="38" spans="2:9" ht="25.5" hidden="1" customHeight="1">
      <c r="B38" s="666" t="e">
        <f>'DataBase (IMO form)'!#REF!</f>
        <v>#REF!</v>
      </c>
      <c r="C38" s="667" t="e">
        <f>'DataBase (IMO form)'!#REF!</f>
        <v>#REF!</v>
      </c>
      <c r="D38" s="667" t="e">
        <f>'DataBase (IMO form)'!#REF!</f>
        <v>#REF!</v>
      </c>
      <c r="E38" s="668" t="e">
        <f>'DataBase (IMO form)'!#REF!</f>
        <v>#REF!</v>
      </c>
      <c r="F38" s="669" t="e">
        <f>'DataBase (IMO form)'!#REF!</f>
        <v>#REF!</v>
      </c>
      <c r="G38" s="977"/>
      <c r="H38" s="669" t="e">
        <f>'DataBase (IMO form)'!#REF!</f>
        <v>#REF!</v>
      </c>
      <c r="I38" s="663"/>
    </row>
    <row r="39" spans="2:9" ht="25.5" hidden="1" customHeight="1">
      <c r="B39" s="666" t="e">
        <f>'DataBase (IMO form)'!#REF!</f>
        <v>#REF!</v>
      </c>
      <c r="C39" s="667" t="e">
        <f>'DataBase (IMO form)'!#REF!</f>
        <v>#REF!</v>
      </c>
      <c r="D39" s="667" t="e">
        <f>'DataBase (IMO form)'!#REF!</f>
        <v>#REF!</v>
      </c>
      <c r="E39" s="668" t="e">
        <f>'DataBase (IMO form)'!#REF!</f>
        <v>#REF!</v>
      </c>
      <c r="F39" s="669" t="e">
        <f>'DataBase (IMO form)'!#REF!</f>
        <v>#REF!</v>
      </c>
      <c r="G39" s="977"/>
      <c r="H39" s="669" t="e">
        <f>'DataBase (IMO form)'!#REF!</f>
        <v>#REF!</v>
      </c>
      <c r="I39" s="663"/>
    </row>
    <row r="40" spans="2:9" ht="25.5" hidden="1" customHeight="1">
      <c r="B40" s="666" t="e">
        <f>'DataBase (IMO form)'!#REF!</f>
        <v>#REF!</v>
      </c>
      <c r="C40" s="667" t="e">
        <f>'DataBase (IMO form)'!#REF!</f>
        <v>#REF!</v>
      </c>
      <c r="D40" s="667" t="e">
        <f>'DataBase (IMO form)'!#REF!</f>
        <v>#REF!</v>
      </c>
      <c r="E40" s="668" t="e">
        <f>'DataBase (IMO form)'!#REF!</f>
        <v>#REF!</v>
      </c>
      <c r="F40" s="669" t="e">
        <f>'DataBase (IMO form)'!#REF!</f>
        <v>#REF!</v>
      </c>
      <c r="G40" s="977"/>
      <c r="H40" s="669" t="e">
        <f>'DataBase (IMO form)'!#REF!</f>
        <v>#REF!</v>
      </c>
      <c r="I40" s="663"/>
    </row>
    <row r="41" spans="2:9" ht="14.25" hidden="1">
      <c r="B41" s="666" t="e">
        <f>'DataBase (IMO form)'!#REF!</f>
        <v>#REF!</v>
      </c>
      <c r="C41" s="667" t="e">
        <f>'DataBase (IMO form)'!#REF!</f>
        <v>#REF!</v>
      </c>
      <c r="D41" s="667" t="e">
        <f>'DataBase (IMO form)'!#REF!</f>
        <v>#REF!</v>
      </c>
      <c r="E41" s="668" t="e">
        <f>'DataBase (IMO form)'!#REF!</f>
        <v>#REF!</v>
      </c>
      <c r="F41" s="669" t="e">
        <f>'DataBase (IMO form)'!#REF!</f>
        <v>#REF!</v>
      </c>
      <c r="G41" s="977"/>
      <c r="H41" s="669" t="e">
        <f>'DataBase (IMO form)'!#REF!</f>
        <v>#REF!</v>
      </c>
      <c r="I41" s="663"/>
    </row>
    <row r="42" spans="2:9" ht="48.75" customHeight="1">
      <c r="B42" s="695"/>
      <c r="C42" s="612"/>
      <c r="D42" s="696"/>
      <c r="E42" s="696"/>
      <c r="F42" s="697"/>
      <c r="G42" s="697"/>
      <c r="H42" s="626"/>
      <c r="I42" s="664"/>
    </row>
    <row r="43" spans="2:9" ht="15">
      <c r="B43" s="695"/>
      <c r="C43" s="612"/>
      <c r="D43" s="696"/>
      <c r="E43" s="698"/>
      <c r="F43" s="698"/>
      <c r="G43" s="698"/>
      <c r="H43" s="627" t="str">
        <f>M.Menu!S16</f>
        <v>CAPT. WENDT ROBERT</v>
      </c>
      <c r="I43" s="664"/>
    </row>
    <row r="44" spans="2:9" ht="15" customHeight="1">
      <c r="B44" s="695"/>
      <c r="C44" s="612"/>
      <c r="D44" s="696"/>
      <c r="E44" s="696"/>
      <c r="F44" s="697"/>
      <c r="G44" s="697"/>
      <c r="H44" s="626" t="s">
        <v>39</v>
      </c>
      <c r="I44" s="664"/>
    </row>
    <row r="45" spans="2:9" ht="15" customHeight="1">
      <c r="B45" s="699"/>
      <c r="C45" s="700"/>
      <c r="D45" s="701"/>
      <c r="E45" s="701"/>
      <c r="F45" s="702"/>
      <c r="G45" s="702"/>
      <c r="H45" s="703"/>
      <c r="I45" s="704"/>
    </row>
    <row r="46" spans="2:9" ht="12.75" customHeight="1"/>
    <row r="47" spans="2:9" ht="12.75" customHeight="1"/>
    <row r="48" spans="2:9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</sheetData>
  <sheetProtection formatRows="0"/>
  <mergeCells count="14">
    <mergeCell ref="E7:G7"/>
    <mergeCell ref="E8:G8"/>
    <mergeCell ref="B2:I2"/>
    <mergeCell ref="B7:D7"/>
    <mergeCell ref="B8:D8"/>
    <mergeCell ref="B5:D5"/>
    <mergeCell ref="B6:D6"/>
    <mergeCell ref="H5:I5"/>
    <mergeCell ref="B3:I3"/>
    <mergeCell ref="H6:I6"/>
    <mergeCell ref="H8:I8"/>
    <mergeCell ref="H7:I7"/>
    <mergeCell ref="E5:G5"/>
    <mergeCell ref="E6:G6"/>
  </mergeCells>
  <phoneticPr fontId="0" type="noConversion"/>
  <printOptions horizontalCentered="1"/>
  <pageMargins left="0.33" right="0.31" top="0.5" bottom="0.35" header="0.38" footer="0.28000000000000003"/>
  <pageSetup paperSize="9" scale="66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5">
    <tabColor rgb="FFC00000"/>
  </sheetPr>
  <dimension ref="B1:D47"/>
  <sheetViews>
    <sheetView showGridLines="0" showZeros="0" view="pageBreakPreview" zoomScale="85" zoomScaleNormal="100" zoomScaleSheetLayoutView="85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2" sqref="J12"/>
    </sheetView>
  </sheetViews>
  <sheetFormatPr defaultColWidth="11.42578125" defaultRowHeight="12.75"/>
  <cols>
    <col min="1" max="1" width="5.42578125" style="1" customWidth="1"/>
    <col min="2" max="4" width="36.85546875" style="3" customWidth="1"/>
    <col min="5" max="5" width="13" style="1" customWidth="1"/>
    <col min="6" max="16384" width="11.42578125" style="1"/>
  </cols>
  <sheetData>
    <row r="1" spans="2:4" ht="18" customHeight="1">
      <c r="B1" s="1"/>
      <c r="C1" s="1"/>
      <c r="D1" s="1"/>
    </row>
    <row r="2" spans="2:4" ht="33" customHeight="1">
      <c r="B2" s="1388" t="s">
        <v>3</v>
      </c>
      <c r="C2" s="1388"/>
      <c r="D2" s="1388"/>
    </row>
    <row r="3" spans="2:4" ht="20.25" customHeight="1">
      <c r="B3" s="1389" t="s">
        <v>37</v>
      </c>
      <c r="C3" s="1389"/>
      <c r="D3" s="1389"/>
    </row>
    <row r="4" spans="2:4" ht="18.75" customHeight="1">
      <c r="B4" s="82"/>
      <c r="C4" s="82"/>
      <c r="D4" s="82"/>
    </row>
    <row r="5" spans="2:4" s="94" customFormat="1" ht="18.75" customHeight="1">
      <c r="B5" s="530" t="s">
        <v>93</v>
      </c>
      <c r="C5" s="530" t="s">
        <v>163</v>
      </c>
      <c r="D5" s="581" t="s">
        <v>227</v>
      </c>
    </row>
    <row r="6" spans="2:4" s="95" customFormat="1" ht="18.75" customHeight="1">
      <c r="B6" s="531" t="str">
        <f>M.Menu!E5&amp;" "&amp;M.Menu!E3</f>
        <v>LNG/C Energy Endurance</v>
      </c>
      <c r="C6" s="308">
        <f>M.Menu!L3</f>
        <v>9948695</v>
      </c>
      <c r="D6" s="582" t="str">
        <f>M.Menu!L11&amp;", "&amp;M.Menu!L12</f>
        <v>Sabine Pass, U.S.A.</v>
      </c>
    </row>
    <row r="7" spans="2:4" s="94" customFormat="1" ht="18.75" customHeight="1">
      <c r="B7" s="530" t="s">
        <v>49</v>
      </c>
      <c r="C7" s="530" t="s">
        <v>132</v>
      </c>
      <c r="D7" s="581" t="s">
        <v>153</v>
      </c>
    </row>
    <row r="8" spans="2:4" s="95" customFormat="1" ht="18.75" customHeight="1">
      <c r="B8" s="534" t="str">
        <f>M.Menu!L8</f>
        <v>Marshall Islands</v>
      </c>
      <c r="C8" s="309" t="str">
        <f>M.Menu!E4</f>
        <v>V7A7282</v>
      </c>
      <c r="D8" s="583">
        <f>M.Menu!L13</f>
        <v>46106</v>
      </c>
    </row>
    <row r="9" spans="2:4" ht="18.75" customHeight="1">
      <c r="B9" s="86"/>
      <c r="C9" s="88"/>
      <c r="D9" s="89"/>
    </row>
    <row r="10" spans="2:4" s="94" customFormat="1" ht="25.5" customHeight="1">
      <c r="B10" s="608" t="s">
        <v>4</v>
      </c>
      <c r="C10" s="607" t="s">
        <v>296</v>
      </c>
      <c r="D10" s="609" t="s">
        <v>471</v>
      </c>
    </row>
    <row r="11" spans="2:4" ht="24" customHeight="1">
      <c r="B11" s="604"/>
      <c r="C11" s="630"/>
      <c r="D11" s="631"/>
    </row>
    <row r="12" spans="2:4" ht="24" customHeight="1">
      <c r="B12" s="600"/>
      <c r="C12" s="630"/>
      <c r="D12" s="631"/>
    </row>
    <row r="13" spans="2:4" ht="24" customHeight="1">
      <c r="B13" s="637" t="s">
        <v>293</v>
      </c>
      <c r="C13" s="927">
        <v>5159</v>
      </c>
      <c r="D13" s="632"/>
    </row>
    <row r="14" spans="2:4" ht="24" customHeight="1">
      <c r="B14" s="638"/>
      <c r="C14" s="633"/>
      <c r="D14" s="634"/>
    </row>
    <row r="15" spans="2:4" ht="24" customHeight="1">
      <c r="B15" s="639"/>
      <c r="C15" s="635"/>
      <c r="D15" s="636"/>
    </row>
    <row r="16" spans="2:4" ht="24" customHeight="1">
      <c r="B16" s="639"/>
      <c r="C16" s="635"/>
      <c r="D16" s="636"/>
    </row>
    <row r="17" spans="2:4" ht="24" customHeight="1">
      <c r="B17" s="639"/>
      <c r="C17" s="635"/>
      <c r="D17" s="636"/>
    </row>
    <row r="18" spans="2:4" ht="24" customHeight="1">
      <c r="B18" s="639"/>
      <c r="C18" s="635"/>
      <c r="D18" s="636"/>
    </row>
    <row r="19" spans="2:4" ht="24" customHeight="1">
      <c r="B19" s="639"/>
      <c r="C19" s="635"/>
      <c r="D19" s="636"/>
    </row>
    <row r="20" spans="2:4" ht="24" customHeight="1">
      <c r="B20" s="639"/>
      <c r="C20" s="635"/>
      <c r="D20" s="636"/>
    </row>
    <row r="21" spans="2:4" ht="24" customHeight="1">
      <c r="B21" s="639"/>
      <c r="C21" s="635"/>
      <c r="D21" s="636"/>
    </row>
    <row r="22" spans="2:4" ht="24" customHeight="1">
      <c r="B22" s="639"/>
      <c r="C22" s="635"/>
      <c r="D22" s="636"/>
    </row>
    <row r="23" spans="2:4" ht="24" customHeight="1">
      <c r="B23" s="639"/>
      <c r="C23" s="635"/>
      <c r="D23" s="636"/>
    </row>
    <row r="24" spans="2:4" ht="24" customHeight="1">
      <c r="B24" s="639"/>
      <c r="C24" s="635"/>
      <c r="D24" s="636"/>
    </row>
    <row r="25" spans="2:4" ht="24" customHeight="1">
      <c r="B25" s="639"/>
      <c r="C25" s="635"/>
      <c r="D25" s="636"/>
    </row>
    <row r="26" spans="2:4" ht="24" customHeight="1">
      <c r="B26" s="639"/>
      <c r="C26" s="635"/>
      <c r="D26" s="636"/>
    </row>
    <row r="27" spans="2:4" ht="24" customHeight="1">
      <c r="B27" s="639"/>
      <c r="C27" s="635"/>
      <c r="D27" s="636"/>
    </row>
    <row r="28" spans="2:4" ht="24" customHeight="1">
      <c r="B28" s="4"/>
      <c r="C28" s="6"/>
      <c r="D28" s="7"/>
    </row>
    <row r="29" spans="2:4" ht="12.75" customHeight="1"/>
    <row r="30" spans="2:4" ht="12.75" customHeight="1"/>
    <row r="31" spans="2:4" ht="15" customHeight="1">
      <c r="C31" s="191"/>
      <c r="D31" s="629" t="str">
        <f>M.Menu!S16</f>
        <v>CAPT. WENDT ROBERT</v>
      </c>
    </row>
    <row r="32" spans="2:4" ht="15" customHeight="1">
      <c r="D32" s="628" t="s">
        <v>156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</sheetData>
  <sheetProtection selectLockedCells="1"/>
  <mergeCells count="2">
    <mergeCell ref="B2:D2"/>
    <mergeCell ref="B3:D3"/>
  </mergeCells>
  <phoneticPr fontId="0" type="noConversion"/>
  <printOptions horizontalCentered="1"/>
  <pageMargins left="0.39370078740157499" right="0.39370078740157499" top="1.0900000000000001" bottom="0.63" header="0.511811023622047" footer="0.56000000000000005"/>
  <pageSetup paperSize="9" scale="80" orientation="portrait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>
    <tabColor rgb="FFC00000"/>
    <pageSetUpPr fitToPage="1"/>
  </sheetPr>
  <dimension ref="A1:S62"/>
  <sheetViews>
    <sheetView showGridLines="0" showZeros="0" view="pageBreakPreview" topLeftCell="B1" zoomScale="85" zoomScaleNormal="100" zoomScaleSheetLayoutView="85" workbookViewId="0">
      <selection activeCell="P27" sqref="P27"/>
    </sheetView>
  </sheetViews>
  <sheetFormatPr defaultColWidth="9.140625" defaultRowHeight="12.75"/>
  <cols>
    <col min="1" max="1" width="4.85546875" style="753" customWidth="1"/>
    <col min="2" max="2" width="6.28515625" style="753" customWidth="1"/>
    <col min="3" max="3" width="5.42578125" style="763" customWidth="1"/>
    <col min="4" max="4" width="16.28515625" style="763" customWidth="1"/>
    <col min="5" max="5" width="19.5703125" style="763" customWidth="1"/>
    <col min="6" max="6" width="7.140625" style="763" customWidth="1"/>
    <col min="7" max="7" width="12.42578125" style="763" customWidth="1"/>
    <col min="8" max="8" width="31.5703125" style="763" customWidth="1"/>
    <col min="9" max="9" width="10.7109375" style="847" customWidth="1"/>
    <col min="10" max="10" width="18" style="763" customWidth="1"/>
    <col min="11" max="11" width="6.28515625" style="753" customWidth="1"/>
    <col min="12" max="12" width="9.140625" style="753"/>
    <col min="13" max="13" width="16.5703125" style="753" customWidth="1"/>
    <col min="14" max="14" width="9.140625" style="753" customWidth="1"/>
    <col min="15" max="15" width="9.140625" style="754"/>
    <col min="16" max="16" width="15.42578125" style="753" customWidth="1"/>
    <col min="17" max="17" width="31.42578125" style="753" customWidth="1"/>
    <col min="18" max="18" width="9.140625" style="753"/>
    <col min="19" max="19" width="21.140625" style="753" customWidth="1"/>
    <col min="20" max="16384" width="9.140625" style="753"/>
  </cols>
  <sheetData>
    <row r="1" spans="1:19" s="750" customFormat="1" ht="27" customHeight="1">
      <c r="A1" s="750">
        <v>0</v>
      </c>
      <c r="B1" s="750" t="s">
        <v>143</v>
      </c>
      <c r="C1" s="751"/>
      <c r="D1" s="751"/>
      <c r="E1" s="751"/>
      <c r="F1" s="751"/>
      <c r="G1" s="751"/>
      <c r="H1" s="751"/>
      <c r="I1" s="752"/>
      <c r="J1" s="751"/>
      <c r="K1" s="753"/>
      <c r="L1" s="753"/>
      <c r="M1" s="753"/>
      <c r="N1" s="753"/>
      <c r="O1" s="754"/>
      <c r="P1" s="753"/>
      <c r="Q1" s="753"/>
      <c r="R1" s="753"/>
      <c r="S1" s="753"/>
    </row>
    <row r="2" spans="1:19" s="750" customFormat="1" ht="27" customHeight="1">
      <c r="B2" s="1412" t="s">
        <v>172</v>
      </c>
      <c r="C2" s="1412"/>
      <c r="D2" s="1412"/>
      <c r="E2" s="1412"/>
      <c r="F2" s="1412"/>
      <c r="G2" s="1412"/>
      <c r="H2" s="1412"/>
      <c r="I2" s="1412"/>
      <c r="J2" s="1412"/>
      <c r="K2" s="1412"/>
      <c r="L2" s="753"/>
      <c r="M2" s="753"/>
      <c r="N2" s="753"/>
      <c r="O2" s="754"/>
      <c r="P2" s="753"/>
      <c r="Q2" s="753"/>
      <c r="R2" s="753"/>
      <c r="S2" s="753"/>
    </row>
    <row r="3" spans="1:19" s="750" customFormat="1" ht="14.25" customHeight="1">
      <c r="C3" s="1411" t="s">
        <v>267</v>
      </c>
      <c r="D3" s="1411"/>
      <c r="E3" s="1411"/>
      <c r="F3" s="1411"/>
      <c r="G3" s="1411"/>
      <c r="H3" s="1411"/>
      <c r="I3" s="1411"/>
      <c r="J3" s="1411"/>
      <c r="K3" s="753"/>
      <c r="L3" s="753"/>
      <c r="M3" s="753"/>
      <c r="N3" s="753"/>
      <c r="O3" s="754"/>
      <c r="P3" s="753"/>
      <c r="Q3" s="753"/>
      <c r="R3" s="753"/>
      <c r="S3" s="753"/>
    </row>
    <row r="4" spans="1:19" s="755" customFormat="1" ht="13.5" customHeight="1">
      <c r="C4" s="756"/>
      <c r="D4" s="756"/>
      <c r="E4" s="756"/>
      <c r="F4" s="756"/>
      <c r="G4" s="756"/>
      <c r="H4" s="756"/>
      <c r="I4" s="757"/>
      <c r="J4" s="758" t="s">
        <v>181</v>
      </c>
      <c r="K4" s="753"/>
      <c r="L4" s="753"/>
      <c r="M4" s="753"/>
      <c r="N4" s="753"/>
      <c r="O4" s="754"/>
      <c r="P4" s="753"/>
      <c r="Q4" s="753"/>
      <c r="R4" s="753"/>
      <c r="S4" s="753"/>
    </row>
    <row r="5" spans="1:19" s="755" customFormat="1" ht="18.75" customHeight="1">
      <c r="C5" s="1415"/>
      <c r="D5" s="1415"/>
      <c r="E5" s="1415"/>
      <c r="F5" s="759"/>
      <c r="G5" s="760"/>
      <c r="H5" s="761" t="s">
        <v>87</v>
      </c>
      <c r="I5" s="756"/>
      <c r="J5" s="762" t="s">
        <v>73</v>
      </c>
      <c r="K5" s="763"/>
      <c r="L5" s="763"/>
      <c r="M5" s="763"/>
      <c r="N5" s="763"/>
      <c r="O5" s="764"/>
      <c r="P5" s="763"/>
      <c r="Q5" s="763"/>
      <c r="R5" s="763"/>
      <c r="S5" s="763"/>
    </row>
    <row r="6" spans="1:19" s="765" customFormat="1" ht="15.75" customHeight="1">
      <c r="B6" s="766"/>
      <c r="C6" s="767" t="s">
        <v>79</v>
      </c>
      <c r="D6" s="768"/>
      <c r="E6" s="913" t="str">
        <f>M.Menu!E3</f>
        <v>Energy Endurance</v>
      </c>
      <c r="F6" s="769"/>
      <c r="G6" s="770"/>
      <c r="H6" s="767" t="s">
        <v>82</v>
      </c>
      <c r="I6" s="767" t="s">
        <v>83</v>
      </c>
      <c r="J6" s="771"/>
      <c r="K6" s="763"/>
      <c r="L6" s="763"/>
      <c r="M6" s="763"/>
      <c r="N6" s="763"/>
      <c r="O6" s="764"/>
      <c r="P6" s="763"/>
      <c r="Q6" s="763"/>
      <c r="R6" s="763"/>
      <c r="S6" s="763"/>
    </row>
    <row r="7" spans="1:19" s="765" customFormat="1" ht="15.75" customHeight="1">
      <c r="B7" s="766"/>
      <c r="C7" s="772" t="s">
        <v>80</v>
      </c>
      <c r="D7" s="773"/>
      <c r="E7" s="774">
        <f>M.Menu!L3</f>
        <v>9948695</v>
      </c>
      <c r="F7" s="774"/>
      <c r="G7" s="775"/>
      <c r="H7" s="776"/>
      <c r="I7" s="1413">
        <f>M.Menu!L13</f>
        <v>46106</v>
      </c>
      <c r="J7" s="1414"/>
      <c r="K7" s="763"/>
      <c r="L7" s="763"/>
      <c r="M7" s="763"/>
      <c r="N7" s="763"/>
      <c r="O7" s="764"/>
      <c r="P7" s="763"/>
      <c r="Q7" s="763"/>
      <c r="R7" s="763"/>
      <c r="S7" s="763"/>
    </row>
    <row r="8" spans="1:19" s="765" customFormat="1" ht="15.75" customHeight="1">
      <c r="B8" s="766"/>
      <c r="C8" s="772" t="s">
        <v>81</v>
      </c>
      <c r="D8" s="773"/>
      <c r="E8" s="777" t="str">
        <f>M.Menu!E4</f>
        <v>V7A7282</v>
      </c>
      <c r="F8" s="777"/>
      <c r="G8" s="775"/>
      <c r="H8" s="914" t="str">
        <f>M.Menu!L11&amp;", "&amp;M.Menu!L12</f>
        <v>Sabine Pass, U.S.A.</v>
      </c>
      <c r="I8" s="1413"/>
      <c r="J8" s="1414"/>
      <c r="K8" s="763"/>
      <c r="L8" s="763"/>
      <c r="M8" s="763"/>
      <c r="N8" s="763"/>
      <c r="O8" s="764"/>
      <c r="P8" s="763"/>
      <c r="Q8" s="763"/>
      <c r="R8" s="763"/>
      <c r="S8" s="763"/>
    </row>
    <row r="9" spans="1:19" s="765" customFormat="1" ht="15.75" customHeight="1">
      <c r="B9" s="766"/>
      <c r="C9" s="778" t="s">
        <v>262</v>
      </c>
      <c r="D9" s="779"/>
      <c r="E9" s="780" t="str">
        <f>M.Menu!S13</f>
        <v>VOY16</v>
      </c>
      <c r="F9" s="781"/>
      <c r="G9" s="782"/>
      <c r="H9" s="783"/>
      <c r="I9" s="784"/>
      <c r="J9" s="785"/>
      <c r="K9" s="753"/>
      <c r="L9" s="753"/>
      <c r="M9" s="753"/>
      <c r="N9" s="753"/>
      <c r="O9" s="754"/>
      <c r="P9" s="753"/>
      <c r="Q9" s="753"/>
      <c r="R9" s="753"/>
      <c r="S9" s="753"/>
    </row>
    <row r="10" spans="1:19" s="755" customFormat="1" ht="13.5" customHeight="1">
      <c r="B10" s="766"/>
      <c r="C10" s="786" t="s">
        <v>84</v>
      </c>
      <c r="D10" s="787"/>
      <c r="E10" s="788"/>
      <c r="F10" s="788"/>
      <c r="G10" s="789"/>
      <c r="H10" s="787" t="s">
        <v>390</v>
      </c>
      <c r="I10" s="790"/>
      <c r="J10" s="791"/>
      <c r="K10" s="753"/>
      <c r="L10" s="753"/>
      <c r="M10" s="753"/>
      <c r="N10" s="753"/>
      <c r="O10" s="754"/>
      <c r="P10" s="753"/>
      <c r="Q10" s="753"/>
      <c r="R10" s="753"/>
      <c r="S10" s="753"/>
    </row>
    <row r="11" spans="1:19" s="792" customFormat="1" ht="18.75" customHeight="1">
      <c r="B11" s="766"/>
      <c r="C11" s="793" t="str">
        <f>M.Menu!L8</f>
        <v>Marshall Islands</v>
      </c>
      <c r="D11" s="794"/>
      <c r="E11" s="794"/>
      <c r="F11" s="794"/>
      <c r="G11" s="795"/>
      <c r="H11" s="912" t="str">
        <f>M.Menu!E11&amp;", "&amp;M.Menu!E12</f>
        <v>BARCARENA, BRAZIL</v>
      </c>
      <c r="I11" s="796"/>
      <c r="J11" s="797"/>
      <c r="K11" s="753"/>
      <c r="L11" s="753"/>
      <c r="M11" s="753"/>
      <c r="N11" s="753"/>
      <c r="O11" s="754"/>
      <c r="P11" s="753"/>
      <c r="Q11" s="753"/>
      <c r="R11" s="753"/>
      <c r="S11" s="753"/>
    </row>
    <row r="12" spans="1:19" s="798" customFormat="1" ht="15" customHeight="1">
      <c r="B12" s="766"/>
      <c r="C12" s="767" t="s">
        <v>174</v>
      </c>
      <c r="D12" s="768"/>
      <c r="E12" s="767" t="s">
        <v>176</v>
      </c>
      <c r="F12" s="768"/>
      <c r="G12" s="771"/>
      <c r="H12" s="767"/>
      <c r="I12" s="799"/>
      <c r="J12" s="771"/>
      <c r="K12" s="753"/>
      <c r="L12" s="753"/>
      <c r="M12" s="753"/>
      <c r="N12" s="753"/>
      <c r="O12" s="754"/>
      <c r="P12" s="753"/>
      <c r="Q12" s="753"/>
      <c r="R12" s="753"/>
      <c r="S12" s="753"/>
    </row>
    <row r="13" spans="1:19" s="798" customFormat="1" ht="15" customHeight="1">
      <c r="B13" s="766"/>
      <c r="C13" s="772" t="s">
        <v>175</v>
      </c>
      <c r="D13" s="800">
        <f>M.Menu!S7</f>
        <v>28</v>
      </c>
      <c r="E13" s="801" t="str">
        <f>_xlfn.DAYS(M.Menu!L14,M.Menu!L13)+1&amp;" days"</f>
        <v>-46105 days</v>
      </c>
      <c r="F13" s="773"/>
      <c r="G13" s="802"/>
      <c r="H13" s="803"/>
      <c r="I13" s="804"/>
      <c r="J13" s="805"/>
      <c r="K13" s="753"/>
      <c r="L13" s="753"/>
      <c r="M13" s="753"/>
      <c r="N13" s="753"/>
      <c r="O13" s="754"/>
      <c r="P13" s="753"/>
      <c r="Q13" s="753"/>
      <c r="R13" s="753"/>
      <c r="S13" s="753"/>
    </row>
    <row r="14" spans="1:19" s="798" customFormat="1" ht="15" customHeight="1">
      <c r="B14" s="766"/>
      <c r="C14" s="1422" t="s">
        <v>258</v>
      </c>
      <c r="D14" s="1423"/>
      <c r="E14" s="1424"/>
      <c r="F14" s="1416" t="s">
        <v>259</v>
      </c>
      <c r="G14" s="1417"/>
      <c r="H14" s="1420" t="s">
        <v>260</v>
      </c>
      <c r="I14" s="1416" t="s">
        <v>261</v>
      </c>
      <c r="J14" s="1417"/>
      <c r="K14" s="753"/>
      <c r="L14" s="753"/>
      <c r="M14" s="753"/>
      <c r="N14" s="753"/>
      <c r="O14" s="754"/>
      <c r="P14" s="753"/>
      <c r="Q14" s="753"/>
      <c r="R14" s="753"/>
      <c r="S14" s="753"/>
    </row>
    <row r="15" spans="1:19" s="806" customFormat="1" ht="15" customHeight="1">
      <c r="B15" s="766"/>
      <c r="C15" s="1418"/>
      <c r="D15" s="1425"/>
      <c r="E15" s="1419"/>
      <c r="F15" s="1418"/>
      <c r="G15" s="1419"/>
      <c r="H15" s="1421"/>
      <c r="I15" s="1418"/>
      <c r="J15" s="1419"/>
      <c r="K15" s="753"/>
      <c r="L15" s="753"/>
      <c r="M15" s="753"/>
      <c r="N15" s="753"/>
      <c r="O15" s="754"/>
      <c r="P15" s="753"/>
      <c r="Q15" s="753"/>
      <c r="R15" s="753"/>
      <c r="S15" s="753"/>
    </row>
    <row r="16" spans="1:19" s="807" customFormat="1" ht="16.5" customHeight="1">
      <c r="B16" s="766"/>
      <c r="C16" s="1393" t="s">
        <v>867</v>
      </c>
      <c r="D16" s="1394"/>
      <c r="E16" s="1395"/>
      <c r="F16" s="286">
        <v>54</v>
      </c>
      <c r="G16" s="809" t="s">
        <v>292</v>
      </c>
      <c r="H16" s="810" t="s">
        <v>235</v>
      </c>
      <c r="I16" s="1407"/>
      <c r="J16" s="1408"/>
      <c r="K16" s="753"/>
      <c r="L16" s="753"/>
      <c r="M16" s="753"/>
      <c r="N16" s="753"/>
      <c r="O16" s="754"/>
      <c r="P16" s="753"/>
      <c r="Q16" s="753"/>
      <c r="R16" s="753"/>
      <c r="S16" s="753"/>
    </row>
    <row r="17" spans="2:19" s="807" customFormat="1" ht="16.5" customHeight="1">
      <c r="B17" s="766"/>
      <c r="C17" s="1390" t="s">
        <v>664</v>
      </c>
      <c r="D17" s="1391"/>
      <c r="E17" s="1392"/>
      <c r="F17" s="286">
        <v>12</v>
      </c>
      <c r="G17" s="809" t="s">
        <v>292</v>
      </c>
      <c r="H17" s="810" t="s">
        <v>235</v>
      </c>
      <c r="I17" s="879"/>
      <c r="J17" s="880"/>
      <c r="K17" s="753"/>
      <c r="L17" s="753"/>
      <c r="M17" s="753"/>
      <c r="N17" s="753"/>
      <c r="O17" s="754"/>
      <c r="P17" s="753"/>
      <c r="Q17" s="753"/>
      <c r="R17" s="753"/>
      <c r="S17" s="753"/>
    </row>
    <row r="18" spans="2:19" s="807" customFormat="1" ht="16.5" customHeight="1" thickBot="1">
      <c r="B18" s="766"/>
      <c r="C18" s="1396" t="s">
        <v>665</v>
      </c>
      <c r="D18" s="1397"/>
      <c r="E18" s="1398"/>
      <c r="F18" s="286">
        <v>16</v>
      </c>
      <c r="G18" s="809" t="s">
        <v>292</v>
      </c>
      <c r="H18" s="810" t="s">
        <v>235</v>
      </c>
      <c r="I18" s="1409"/>
      <c r="J18" s="1410"/>
      <c r="K18" s="753"/>
      <c r="L18" s="753"/>
      <c r="M18" s="753"/>
      <c r="N18" s="753"/>
      <c r="O18" s="754"/>
      <c r="P18" s="753"/>
      <c r="Q18" s="753"/>
      <c r="R18" s="753"/>
      <c r="S18" s="753"/>
    </row>
    <row r="19" spans="2:19" s="807" customFormat="1" ht="16.5" customHeight="1" thickBot="1">
      <c r="B19" s="766"/>
      <c r="C19" s="1399" t="s">
        <v>291</v>
      </c>
      <c r="D19" s="1400"/>
      <c r="E19" s="1401"/>
      <c r="F19" s="811">
        <f>SUM(F16:F18)</f>
        <v>82</v>
      </c>
      <c r="G19" s="812" t="s">
        <v>292</v>
      </c>
      <c r="H19" s="813"/>
      <c r="I19" s="814"/>
      <c r="J19" s="815"/>
      <c r="K19" s="753"/>
      <c r="L19" s="753"/>
      <c r="M19" s="753"/>
      <c r="N19" s="753"/>
      <c r="O19" s="754"/>
      <c r="P19" s="753"/>
      <c r="Q19" s="753"/>
      <c r="R19" s="753"/>
      <c r="S19" s="753"/>
    </row>
    <row r="20" spans="2:19" s="807" customFormat="1" ht="17.25" customHeight="1">
      <c r="B20" s="766"/>
      <c r="C20" s="816"/>
      <c r="D20" s="817"/>
      <c r="E20" s="818"/>
      <c r="F20" s="819"/>
      <c r="G20" s="820"/>
      <c r="H20" s="821"/>
      <c r="I20" s="814"/>
      <c r="J20" s="815"/>
      <c r="K20" s="753"/>
      <c r="L20" s="753"/>
      <c r="M20" s="753"/>
      <c r="N20" s="753"/>
      <c r="O20" s="754"/>
      <c r="P20" s="753"/>
      <c r="Q20" s="753"/>
      <c r="R20" s="753"/>
      <c r="S20" s="753"/>
    </row>
    <row r="21" spans="2:19" s="807" customFormat="1" ht="16.5" customHeight="1">
      <c r="B21" s="766"/>
      <c r="C21" s="992" t="s">
        <v>666</v>
      </c>
      <c r="D21" s="993"/>
      <c r="E21" s="994"/>
      <c r="F21" s="286">
        <v>8</v>
      </c>
      <c r="G21" s="809" t="s">
        <v>51</v>
      </c>
      <c r="H21" s="810" t="s">
        <v>235</v>
      </c>
      <c r="I21" s="879"/>
      <c r="J21" s="880"/>
      <c r="K21" s="753"/>
      <c r="L21" s="753"/>
      <c r="M21" s="753"/>
      <c r="N21" s="753"/>
      <c r="O21" s="754"/>
      <c r="P21" s="753"/>
      <c r="Q21" s="753"/>
      <c r="R21" s="753"/>
      <c r="S21" s="753"/>
    </row>
    <row r="22" spans="2:19" s="807" customFormat="1" ht="16.5" customHeight="1">
      <c r="B22" s="766"/>
      <c r="C22" s="992" t="s">
        <v>667</v>
      </c>
      <c r="D22" s="993"/>
      <c r="E22" s="994"/>
      <c r="F22" s="286">
        <v>18</v>
      </c>
      <c r="G22" s="809" t="s">
        <v>51</v>
      </c>
      <c r="H22" s="810" t="s">
        <v>235</v>
      </c>
      <c r="I22" s="879"/>
      <c r="J22" s="880"/>
      <c r="K22" s="753"/>
      <c r="L22" s="753"/>
      <c r="M22" s="753"/>
      <c r="N22" s="753"/>
      <c r="O22" s="754"/>
      <c r="P22" s="753"/>
      <c r="Q22" s="753"/>
      <c r="R22" s="753"/>
      <c r="S22" s="753"/>
    </row>
    <row r="23" spans="2:19" s="807" customFormat="1" ht="16.5" customHeight="1">
      <c r="B23" s="766"/>
      <c r="C23" s="992" t="s">
        <v>668</v>
      </c>
      <c r="D23" s="993"/>
      <c r="E23" s="994"/>
      <c r="F23" s="286">
        <v>20</v>
      </c>
      <c r="G23" s="809" t="s">
        <v>51</v>
      </c>
      <c r="H23" s="810" t="s">
        <v>235</v>
      </c>
      <c r="I23" s="814"/>
      <c r="J23" s="815"/>
      <c r="K23" s="753"/>
      <c r="L23" s="753"/>
      <c r="M23" s="753"/>
      <c r="N23" s="753"/>
      <c r="O23" s="754"/>
      <c r="P23" s="753"/>
      <c r="Q23" s="753"/>
      <c r="R23" s="753"/>
      <c r="S23" s="753"/>
    </row>
    <row r="24" spans="2:19" s="807" customFormat="1" ht="16.5" customHeight="1">
      <c r="B24" s="766"/>
      <c r="C24" s="992" t="s">
        <v>669</v>
      </c>
      <c r="D24" s="993"/>
      <c r="E24" s="994"/>
      <c r="F24" s="286">
        <v>35</v>
      </c>
      <c r="G24" s="809" t="s">
        <v>51</v>
      </c>
      <c r="H24" s="810" t="s">
        <v>235</v>
      </c>
      <c r="I24" s="814"/>
      <c r="J24" s="815"/>
      <c r="K24" s="753"/>
      <c r="L24" s="753"/>
      <c r="M24" s="753"/>
      <c r="N24" s="753"/>
      <c r="O24" s="754"/>
      <c r="P24" s="753"/>
      <c r="Q24" s="753"/>
      <c r="R24" s="753"/>
      <c r="S24" s="753"/>
    </row>
    <row r="25" spans="2:19" s="807" customFormat="1" ht="16.5" customHeight="1">
      <c r="B25" s="766"/>
      <c r="C25" s="1390" t="s">
        <v>670</v>
      </c>
      <c r="D25" s="1391"/>
      <c r="E25" s="1392"/>
      <c r="F25" s="286">
        <v>22</v>
      </c>
      <c r="G25" s="809" t="s">
        <v>51</v>
      </c>
      <c r="H25" s="810" t="s">
        <v>235</v>
      </c>
      <c r="I25" s="814"/>
      <c r="J25" s="815"/>
      <c r="K25" s="753"/>
      <c r="L25" s="753"/>
      <c r="M25" s="753"/>
      <c r="N25" s="753"/>
      <c r="O25" s="754"/>
      <c r="P25" s="753"/>
      <c r="Q25" s="753"/>
      <c r="R25" s="753"/>
      <c r="S25" s="753"/>
    </row>
    <row r="26" spans="2:19" s="807" customFormat="1" ht="16.5" customHeight="1">
      <c r="B26" s="766"/>
      <c r="C26" s="1390"/>
      <c r="D26" s="1391"/>
      <c r="E26" s="1392"/>
      <c r="F26" s="824"/>
      <c r="G26" s="809"/>
      <c r="H26" s="810"/>
      <c r="I26" s="814"/>
      <c r="J26" s="815"/>
      <c r="K26" s="753"/>
      <c r="L26" s="753"/>
      <c r="M26" s="753"/>
      <c r="N26" s="753"/>
      <c r="O26" s="754"/>
      <c r="P26" s="753"/>
      <c r="Q26" s="753"/>
      <c r="R26" s="753"/>
      <c r="S26" s="753"/>
    </row>
    <row r="27" spans="2:19" s="807" customFormat="1" ht="16.5" customHeight="1">
      <c r="B27" s="766"/>
      <c r="C27" s="808"/>
      <c r="D27" s="822"/>
      <c r="E27" s="823"/>
      <c r="F27" s="824"/>
      <c r="G27" s="825"/>
      <c r="H27" s="821"/>
      <c r="I27" s="814"/>
      <c r="J27" s="815"/>
      <c r="K27" s="753"/>
      <c r="L27" s="753"/>
      <c r="M27" s="753"/>
      <c r="N27" s="753"/>
      <c r="O27" s="754"/>
      <c r="P27" s="753"/>
      <c r="Q27" s="753"/>
      <c r="R27" s="753"/>
      <c r="S27" s="753"/>
    </row>
    <row r="28" spans="2:19" s="807" customFormat="1" ht="16.5" customHeight="1">
      <c r="B28" s="766"/>
      <c r="C28" s="808"/>
      <c r="D28" s="822"/>
      <c r="E28" s="823"/>
      <c r="F28" s="824"/>
      <c r="G28" s="825"/>
      <c r="H28" s="821"/>
      <c r="I28" s="814"/>
      <c r="J28" s="815"/>
      <c r="K28" s="753"/>
      <c r="L28" s="753"/>
      <c r="M28" s="753"/>
      <c r="N28" s="753"/>
      <c r="O28" s="754"/>
      <c r="P28" s="753"/>
      <c r="Q28" s="753"/>
      <c r="R28" s="753"/>
      <c r="S28" s="753"/>
    </row>
    <row r="29" spans="2:19" s="807" customFormat="1" ht="16.5" customHeight="1">
      <c r="B29" s="766"/>
      <c r="C29" s="808"/>
      <c r="D29" s="822"/>
      <c r="E29" s="823"/>
      <c r="F29" s="824"/>
      <c r="G29" s="825"/>
      <c r="H29" s="821"/>
      <c r="I29" s="814"/>
      <c r="J29" s="815"/>
      <c r="K29" s="753"/>
      <c r="L29" s="753"/>
      <c r="M29" s="753"/>
      <c r="N29" s="753"/>
      <c r="O29" s="754"/>
      <c r="P29" s="753"/>
      <c r="Q29" s="753"/>
      <c r="R29" s="753"/>
      <c r="S29" s="753"/>
    </row>
    <row r="30" spans="2:19" s="807" customFormat="1" ht="16.5" customHeight="1">
      <c r="B30" s="766"/>
      <c r="C30" s="808"/>
      <c r="D30" s="822"/>
      <c r="E30" s="823"/>
      <c r="F30" s="824"/>
      <c r="G30" s="825"/>
      <c r="H30" s="821"/>
      <c r="I30" s="814"/>
      <c r="J30" s="815"/>
      <c r="K30" s="753"/>
      <c r="L30" s="753"/>
      <c r="M30" s="753"/>
      <c r="N30" s="753"/>
      <c r="O30" s="754"/>
      <c r="P30" s="753"/>
      <c r="Q30" s="753"/>
      <c r="R30" s="753"/>
      <c r="S30" s="753"/>
    </row>
    <row r="31" spans="2:19" s="807" customFormat="1" ht="16.5" customHeight="1">
      <c r="B31" s="766"/>
      <c r="C31" s="808"/>
      <c r="D31" s="822"/>
      <c r="E31" s="823"/>
      <c r="F31" s="824"/>
      <c r="G31" s="825"/>
      <c r="H31" s="821"/>
      <c r="I31" s="814"/>
      <c r="J31" s="815"/>
      <c r="K31" s="753"/>
      <c r="L31" s="753"/>
      <c r="M31" s="753"/>
      <c r="N31" s="753"/>
      <c r="O31" s="754"/>
      <c r="P31" s="753"/>
      <c r="Q31" s="753"/>
      <c r="R31" s="753"/>
      <c r="S31" s="753"/>
    </row>
    <row r="32" spans="2:19" s="826" customFormat="1" ht="16.5" customHeight="1">
      <c r="B32" s="766"/>
      <c r="E32" s="823"/>
      <c r="F32" s="824"/>
      <c r="G32" s="825"/>
      <c r="H32" s="821"/>
      <c r="I32" s="814"/>
      <c r="J32" s="815"/>
      <c r="K32" s="753"/>
      <c r="L32" s="753"/>
      <c r="M32" s="753"/>
      <c r="N32" s="753"/>
      <c r="O32" s="754"/>
      <c r="P32" s="753"/>
      <c r="Q32" s="753"/>
      <c r="R32" s="753"/>
      <c r="S32" s="753"/>
    </row>
    <row r="33" spans="2:19" s="826" customFormat="1" ht="16.5" customHeight="1">
      <c r="B33" s="766"/>
      <c r="C33" s="808"/>
      <c r="D33" s="822"/>
      <c r="E33" s="823"/>
      <c r="F33" s="824"/>
      <c r="G33" s="825"/>
      <c r="H33" s="821"/>
      <c r="I33" s="814"/>
      <c r="J33" s="815"/>
      <c r="K33" s="753"/>
      <c r="L33" s="753"/>
      <c r="M33" s="753"/>
      <c r="N33" s="753"/>
      <c r="O33" s="754"/>
      <c r="P33" s="753"/>
      <c r="Q33" s="753"/>
      <c r="R33" s="753"/>
      <c r="S33" s="753"/>
    </row>
    <row r="34" spans="2:19" s="826" customFormat="1" ht="16.5" customHeight="1">
      <c r="B34" s="766"/>
      <c r="C34" s="827"/>
      <c r="D34" s="828"/>
      <c r="E34" s="829"/>
      <c r="F34" s="824"/>
      <c r="G34" s="825"/>
      <c r="H34" s="821"/>
      <c r="I34" s="814"/>
      <c r="J34" s="815"/>
      <c r="K34" s="753"/>
      <c r="L34" s="753"/>
      <c r="M34" s="753"/>
      <c r="N34" s="753"/>
      <c r="O34" s="754"/>
      <c r="P34" s="753"/>
      <c r="Q34" s="753"/>
      <c r="R34" s="753"/>
      <c r="S34" s="753"/>
    </row>
    <row r="35" spans="2:19" s="826" customFormat="1" ht="16.5" customHeight="1">
      <c r="B35" s="766"/>
      <c r="C35" s="830"/>
      <c r="D35" s="831"/>
      <c r="E35" s="832"/>
      <c r="F35" s="824"/>
      <c r="G35" s="825"/>
      <c r="H35" s="821"/>
      <c r="I35" s="814"/>
      <c r="J35" s="815"/>
      <c r="K35" s="753"/>
      <c r="L35" s="753"/>
      <c r="M35" s="753"/>
      <c r="N35" s="753"/>
      <c r="O35" s="754"/>
      <c r="P35" s="753"/>
      <c r="Q35" s="753"/>
      <c r="R35" s="753"/>
      <c r="S35" s="753"/>
    </row>
    <row r="36" spans="2:19" s="826" customFormat="1" ht="16.5" customHeight="1">
      <c r="B36" s="766"/>
      <c r="C36" s="833"/>
      <c r="D36" s="834"/>
      <c r="E36" s="835"/>
      <c r="F36" s="1404"/>
      <c r="G36" s="1405"/>
      <c r="H36" s="836"/>
      <c r="I36" s="837"/>
      <c r="J36" s="838"/>
      <c r="K36" s="753"/>
      <c r="L36" s="753"/>
      <c r="M36" s="753"/>
      <c r="N36" s="753"/>
      <c r="O36" s="754"/>
      <c r="P36" s="753"/>
      <c r="Q36" s="753"/>
      <c r="R36" s="753"/>
      <c r="S36" s="753"/>
    </row>
    <row r="37" spans="2:19" s="826" customFormat="1" ht="16.5" customHeight="1">
      <c r="B37" s="839"/>
      <c r="C37" s="840" t="s">
        <v>263</v>
      </c>
      <c r="D37" s="841"/>
      <c r="E37" s="842"/>
      <c r="F37" s="842"/>
      <c r="G37" s="843"/>
      <c r="H37" s="844"/>
      <c r="I37" s="845"/>
      <c r="J37" s="845"/>
      <c r="K37" s="753"/>
      <c r="L37" s="753"/>
      <c r="M37" s="753"/>
      <c r="N37" s="753"/>
      <c r="O37" s="754"/>
      <c r="P37" s="753"/>
      <c r="Q37" s="753"/>
      <c r="R37" s="753"/>
      <c r="S37" s="753"/>
    </row>
    <row r="38" spans="2:19" s="826" customFormat="1" ht="16.5" customHeight="1">
      <c r="B38" s="839"/>
      <c r="C38" s="846"/>
      <c r="D38" s="763"/>
      <c r="E38" s="763"/>
      <c r="F38" s="763"/>
      <c r="G38" s="847"/>
      <c r="H38" s="844"/>
      <c r="I38" s="848"/>
      <c r="J38" s="849"/>
      <c r="K38" s="753"/>
      <c r="L38" s="753"/>
      <c r="M38" s="753"/>
      <c r="N38" s="753"/>
      <c r="O38" s="754"/>
      <c r="P38" s="753"/>
      <c r="Q38" s="753"/>
      <c r="R38" s="753"/>
      <c r="S38" s="753"/>
    </row>
    <row r="39" spans="2:19" s="826" customFormat="1" ht="16.5" customHeight="1">
      <c r="B39" s="839"/>
      <c r="C39" s="763"/>
      <c r="D39" s="763"/>
      <c r="E39" s="763"/>
      <c r="F39" s="763"/>
      <c r="G39" s="847"/>
      <c r="H39" s="842"/>
      <c r="I39" s="843"/>
      <c r="J39" s="843"/>
      <c r="K39" s="753"/>
      <c r="L39" s="753"/>
      <c r="M39" s="753"/>
      <c r="N39" s="753"/>
      <c r="O39" s="754"/>
      <c r="P39" s="753"/>
      <c r="Q39" s="753"/>
      <c r="R39" s="753"/>
      <c r="S39" s="753"/>
    </row>
    <row r="40" spans="2:19" s="826" customFormat="1" ht="16.5" customHeight="1">
      <c r="B40" s="839"/>
      <c r="C40" s="850"/>
      <c r="D40" s="850"/>
      <c r="E40" s="850"/>
      <c r="F40" s="850"/>
      <c r="G40" s="851"/>
      <c r="H40" s="763"/>
      <c r="I40" s="847"/>
      <c r="J40" s="763"/>
      <c r="K40" s="753"/>
      <c r="L40" s="753"/>
      <c r="M40" s="753"/>
      <c r="N40" s="753"/>
      <c r="O40" s="754"/>
      <c r="P40" s="753"/>
      <c r="Q40" s="753"/>
      <c r="R40" s="753"/>
      <c r="S40" s="753"/>
    </row>
    <row r="41" spans="2:19" s="826" customFormat="1" ht="24" customHeight="1">
      <c r="B41" s="852"/>
      <c r="C41" s="763"/>
      <c r="D41" s="763"/>
      <c r="E41" s="763"/>
      <c r="F41" s="763"/>
      <c r="G41" s="847"/>
      <c r="H41" s="1402" t="str">
        <f>M.Menu!S15</f>
        <v>CAPT. WENDT ROBERT</v>
      </c>
      <c r="I41" s="1403"/>
      <c r="J41" s="1403"/>
      <c r="K41" s="753"/>
      <c r="L41" s="753"/>
      <c r="M41" s="753"/>
      <c r="N41" s="753"/>
      <c r="O41" s="754"/>
      <c r="P41" s="753"/>
      <c r="Q41" s="753"/>
      <c r="R41" s="753"/>
      <c r="S41" s="753"/>
    </row>
    <row r="42" spans="2:19" s="853" customFormat="1" ht="29.25" customHeight="1">
      <c r="B42" s="854"/>
      <c r="C42" s="763"/>
      <c r="D42" s="763"/>
      <c r="E42" s="763"/>
      <c r="F42" s="763"/>
      <c r="G42" s="847"/>
      <c r="H42" s="1406" t="s">
        <v>39</v>
      </c>
      <c r="I42" s="1406"/>
      <c r="J42" s="1406"/>
      <c r="K42" s="753"/>
      <c r="L42" s="753"/>
      <c r="M42" s="753"/>
      <c r="N42" s="753"/>
      <c r="O42" s="754"/>
      <c r="P42" s="753"/>
      <c r="Q42" s="753"/>
      <c r="R42" s="753"/>
      <c r="S42" s="753"/>
    </row>
    <row r="43" spans="2:19">
      <c r="G43" s="847"/>
    </row>
    <row r="44" spans="2:19">
      <c r="G44" s="847"/>
    </row>
    <row r="45" spans="2:19">
      <c r="B45" s="855"/>
      <c r="G45" s="847"/>
    </row>
    <row r="46" spans="2:19">
      <c r="G46" s="847"/>
    </row>
    <row r="47" spans="2:19">
      <c r="G47" s="847"/>
    </row>
    <row r="48" spans="2:19">
      <c r="G48" s="847"/>
    </row>
    <row r="49" spans="7:19">
      <c r="G49" s="847"/>
    </row>
    <row r="50" spans="7:19">
      <c r="G50" s="847"/>
    </row>
    <row r="51" spans="7:19">
      <c r="G51" s="847"/>
    </row>
    <row r="52" spans="7:19">
      <c r="G52" s="847"/>
    </row>
    <row r="53" spans="7:19">
      <c r="G53" s="847"/>
    </row>
    <row r="54" spans="7:19">
      <c r="G54" s="847"/>
    </row>
    <row r="55" spans="7:19">
      <c r="G55" s="847"/>
    </row>
    <row r="56" spans="7:19">
      <c r="G56" s="847"/>
    </row>
    <row r="57" spans="7:19">
      <c r="G57" s="847"/>
    </row>
    <row r="59" spans="7:19" s="763" customFormat="1">
      <c r="I59" s="847"/>
      <c r="K59" s="753"/>
      <c r="L59" s="753"/>
      <c r="M59" s="753"/>
      <c r="N59" s="753"/>
      <c r="O59" s="754"/>
      <c r="P59" s="753"/>
      <c r="Q59" s="753"/>
      <c r="R59" s="753"/>
      <c r="S59" s="753"/>
    </row>
    <row r="60" spans="7:19" s="763" customFormat="1">
      <c r="I60" s="847"/>
      <c r="K60" s="753"/>
      <c r="L60" s="753"/>
      <c r="M60" s="753"/>
      <c r="N60" s="753"/>
      <c r="O60" s="754"/>
      <c r="P60" s="753"/>
      <c r="Q60" s="753"/>
      <c r="R60" s="753"/>
      <c r="S60" s="753"/>
    </row>
    <row r="61" spans="7:19" s="763" customFormat="1">
      <c r="I61" s="847"/>
      <c r="K61" s="753"/>
      <c r="L61" s="753"/>
      <c r="M61" s="753"/>
      <c r="N61" s="753"/>
      <c r="O61" s="754"/>
      <c r="P61" s="753"/>
      <c r="Q61" s="753"/>
      <c r="R61" s="753"/>
      <c r="S61" s="753"/>
    </row>
    <row r="62" spans="7:19" s="763" customFormat="1">
      <c r="I62" s="847"/>
      <c r="K62" s="753"/>
      <c r="L62" s="753"/>
      <c r="M62" s="753"/>
      <c r="N62" s="753"/>
      <c r="O62" s="754"/>
      <c r="P62" s="753"/>
      <c r="Q62" s="753"/>
      <c r="R62" s="753"/>
      <c r="S62" s="753"/>
    </row>
  </sheetData>
  <sheetProtection selectLockedCells="1"/>
  <mergeCells count="19">
    <mergeCell ref="C3:J3"/>
    <mergeCell ref="B2:K2"/>
    <mergeCell ref="I7:J8"/>
    <mergeCell ref="C5:E5"/>
    <mergeCell ref="I14:J15"/>
    <mergeCell ref="F14:G15"/>
    <mergeCell ref="H14:H15"/>
    <mergeCell ref="C14:E15"/>
    <mergeCell ref="H41:J41"/>
    <mergeCell ref="F36:G36"/>
    <mergeCell ref="H42:J42"/>
    <mergeCell ref="I16:J16"/>
    <mergeCell ref="I18:J18"/>
    <mergeCell ref="C26:E26"/>
    <mergeCell ref="C25:E25"/>
    <mergeCell ref="C16:E16"/>
    <mergeCell ref="C17:E17"/>
    <mergeCell ref="C18:E18"/>
    <mergeCell ref="C19:E19"/>
  </mergeCells>
  <conditionalFormatting sqref="F16:F19">
    <cfRule type="cellIs" dxfId="9" priority="26" operator="lessThan">
      <formula>1</formula>
    </cfRule>
  </conditionalFormatting>
  <conditionalFormatting sqref="F19">
    <cfRule type="cellIs" dxfId="8" priority="19" operator="lessThan">
      <formula>1</formula>
    </cfRule>
  </conditionalFormatting>
  <conditionalFormatting sqref="F19">
    <cfRule type="cellIs" dxfId="7" priority="20" operator="lessThan">
      <formula>1</formula>
    </cfRule>
  </conditionalFormatting>
  <conditionalFormatting sqref="F17:F18">
    <cfRule type="cellIs" dxfId="6" priority="5" operator="lessThan">
      <formula>1</formula>
    </cfRule>
  </conditionalFormatting>
  <conditionalFormatting sqref="F17:F18">
    <cfRule type="cellIs" dxfId="5" priority="6" operator="lessThan">
      <formula>1</formula>
    </cfRule>
  </conditionalFormatting>
  <conditionalFormatting sqref="F17">
    <cfRule type="cellIs" dxfId="4" priority="7" operator="lessThan">
      <formula>1</formula>
    </cfRule>
  </conditionalFormatting>
  <conditionalFormatting sqref="F17">
    <cfRule type="cellIs" dxfId="3" priority="8" operator="lessThan">
      <formula>1</formula>
    </cfRule>
  </conditionalFormatting>
  <conditionalFormatting sqref="F21:F25">
    <cfRule type="cellIs" dxfId="2" priority="1" operator="lessThan">
      <formula>1</formula>
    </cfRule>
  </conditionalFormatting>
  <conditionalFormatting sqref="F21:F25">
    <cfRule type="cellIs" dxfId="1" priority="2" operator="lessThan">
      <formula>1</formula>
    </cfRule>
  </conditionalFormatting>
  <printOptions horizontalCentered="1"/>
  <pageMargins left="0.19685039370078741" right="0.27559055118110237" top="0.59055118110236227" bottom="0.23622047244094491" header="7.874015748031496E-2" footer="0"/>
  <pageSetup paperSize="9" scale="75" orientation="portrait" blackAndWhite="1" r:id="rId1"/>
  <headerFooter alignWithMargins="0">
    <oddFooter xml:space="preserve">&amp;R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6">
    <tabColor rgb="FFC00000"/>
  </sheetPr>
  <dimension ref="A1:M87"/>
  <sheetViews>
    <sheetView showGridLines="0" showZeros="0" view="pageBreakPreview" zoomScale="85" zoomScaleNormal="40" zoomScaleSheetLayoutView="85" workbookViewId="0">
      <selection activeCell="V32" sqref="V32"/>
    </sheetView>
  </sheetViews>
  <sheetFormatPr defaultColWidth="9.140625" defaultRowHeight="12.75"/>
  <cols>
    <col min="1" max="1" width="4.85546875" style="9" customWidth="1"/>
    <col min="2" max="2" width="6.28515625" style="9" customWidth="1"/>
    <col min="3" max="3" width="6" style="10" customWidth="1"/>
    <col min="4" max="4" width="16.28515625" style="10" customWidth="1"/>
    <col min="5" max="5" width="19.5703125" style="10" customWidth="1"/>
    <col min="6" max="6" width="7.140625" style="10" customWidth="1"/>
    <col min="7" max="7" width="6.28515625" style="10" customWidth="1"/>
    <col min="8" max="8" width="30.42578125" style="10" customWidth="1"/>
    <col min="9" max="9" width="10.7109375" style="11" customWidth="1"/>
    <col min="10" max="10" width="18" style="10" customWidth="1"/>
    <col min="11" max="16384" width="9.140625" style="9"/>
  </cols>
  <sheetData>
    <row r="1" spans="1:10" s="25" customFormat="1" ht="27" customHeight="1">
      <c r="A1" s="25">
        <v>0</v>
      </c>
      <c r="B1" s="25" t="s">
        <v>143</v>
      </c>
      <c r="C1" s="26"/>
      <c r="D1" s="26"/>
      <c r="E1" s="26"/>
      <c r="F1" s="26"/>
      <c r="G1" s="26"/>
      <c r="H1" s="26"/>
      <c r="I1" s="27"/>
      <c r="J1" s="26"/>
    </row>
    <row r="2" spans="1:10" s="25" customFormat="1" ht="27" customHeight="1">
      <c r="B2" s="1459" t="s">
        <v>172</v>
      </c>
      <c r="C2" s="1459"/>
      <c r="D2" s="1459"/>
      <c r="E2" s="1459"/>
      <c r="F2" s="1459"/>
      <c r="G2" s="1459"/>
      <c r="H2" s="1459"/>
      <c r="I2" s="1459"/>
      <c r="J2" s="1459"/>
    </row>
    <row r="3" spans="1:10" s="25" customFormat="1" ht="14.25" customHeight="1">
      <c r="C3" s="26"/>
      <c r="D3" s="26"/>
      <c r="E3" s="26"/>
      <c r="F3" s="26"/>
      <c r="G3" s="28"/>
      <c r="H3" s="29"/>
      <c r="I3" s="27"/>
      <c r="J3" s="26"/>
    </row>
    <row r="4" spans="1:10" s="38" customFormat="1" ht="13.5" customHeight="1">
      <c r="C4" s="42"/>
      <c r="D4" s="42"/>
      <c r="E4" s="42"/>
      <c r="F4" s="42"/>
      <c r="G4" s="42"/>
      <c r="H4" s="42"/>
      <c r="I4" s="43"/>
      <c r="J4" s="61" t="s">
        <v>181</v>
      </c>
    </row>
    <row r="5" spans="1:10" s="38" customFormat="1" ht="18.75" customHeight="1">
      <c r="C5" s="1460"/>
      <c r="D5" s="1460"/>
      <c r="E5" s="1460"/>
      <c r="F5" s="36"/>
      <c r="G5" s="44"/>
      <c r="H5" s="53" t="s">
        <v>87</v>
      </c>
      <c r="I5" s="42"/>
      <c r="J5" s="70" t="s">
        <v>73</v>
      </c>
    </row>
    <row r="6" spans="1:10" s="39" customFormat="1" ht="15.75" customHeight="1">
      <c r="B6" s="1470" t="s">
        <v>182</v>
      </c>
      <c r="C6" s="46" t="s">
        <v>238</v>
      </c>
      <c r="D6" s="51"/>
      <c r="E6" s="54" t="str">
        <f>M.Menu!E3</f>
        <v>Energy Endurance</v>
      </c>
      <c r="F6" s="54"/>
      <c r="G6" s="47"/>
      <c r="H6" s="46" t="s">
        <v>82</v>
      </c>
      <c r="I6" s="46" t="s">
        <v>83</v>
      </c>
      <c r="J6" s="52"/>
    </row>
    <row r="7" spans="1:10" s="39" customFormat="1" ht="15.75" customHeight="1">
      <c r="B7" s="1470"/>
      <c r="C7" s="48" t="s">
        <v>80</v>
      </c>
      <c r="D7" s="40"/>
      <c r="E7" s="55">
        <f>M.Menu!L3</f>
        <v>9948695</v>
      </c>
      <c r="F7" s="55"/>
      <c r="G7" s="49"/>
      <c r="H7" s="129" t="str">
        <f>M.Menu!L11&amp;", "&amp;M.Menu!L12</f>
        <v>Sabine Pass, U.S.A.</v>
      </c>
      <c r="I7" s="1464">
        <f>M.Menu!L13</f>
        <v>46106</v>
      </c>
      <c r="J7" s="1465"/>
    </row>
    <row r="8" spans="1:10" s="39" customFormat="1" ht="15.75" customHeight="1">
      <c r="B8" s="1470"/>
      <c r="C8" s="48" t="s">
        <v>81</v>
      </c>
      <c r="D8" s="40"/>
      <c r="E8" s="60" t="str">
        <f>M.Menu!E4</f>
        <v>V7A7282</v>
      </c>
      <c r="F8" s="60"/>
      <c r="G8" s="49"/>
      <c r="H8" s="1430" t="s">
        <v>84</v>
      </c>
      <c r="I8" s="1431"/>
      <c r="J8" s="1432"/>
    </row>
    <row r="9" spans="1:10" s="39" customFormat="1" ht="15.75" customHeight="1">
      <c r="B9" s="1470"/>
      <c r="C9" s="249" t="s">
        <v>701</v>
      </c>
      <c r="D9" s="57"/>
      <c r="E9" s="915" t="str">
        <f>M.Menu!S13</f>
        <v>VOY16</v>
      </c>
      <c r="F9" s="56"/>
      <c r="G9" s="50"/>
      <c r="H9" s="1433" t="str">
        <f>M.Menu!L8</f>
        <v>Marshall Islands</v>
      </c>
      <c r="I9" s="1434"/>
      <c r="J9" s="1435"/>
    </row>
    <row r="10" spans="1:10" s="38" customFormat="1" ht="13.5" customHeight="1">
      <c r="B10" s="1470"/>
      <c r="C10" s="1443" t="s">
        <v>390</v>
      </c>
      <c r="D10" s="1444"/>
      <c r="E10" s="1444"/>
      <c r="F10" s="1444"/>
      <c r="G10" s="1444"/>
      <c r="H10" s="46" t="s">
        <v>702</v>
      </c>
      <c r="I10" s="1430" t="s">
        <v>176</v>
      </c>
      <c r="J10" s="1432"/>
    </row>
    <row r="11" spans="1:10" s="30" customFormat="1" ht="18.75" customHeight="1">
      <c r="B11" s="1470"/>
      <c r="C11" s="1445" t="str">
        <f>M.Menu!E11&amp;", "&amp;M.Menu!E12</f>
        <v>BARCARENA, BRAZIL</v>
      </c>
      <c r="D11" s="1446"/>
      <c r="E11" s="1446"/>
      <c r="F11" s="1446"/>
      <c r="G11" s="1447"/>
      <c r="H11" s="916">
        <f>M.Menu!S7</f>
        <v>28</v>
      </c>
      <c r="I11" s="1448"/>
      <c r="J11" s="1449"/>
    </row>
    <row r="12" spans="1:10" s="22" customFormat="1" ht="15" customHeight="1">
      <c r="B12" s="1470"/>
      <c r="C12" s="917" t="s">
        <v>258</v>
      </c>
      <c r="D12" s="918"/>
      <c r="E12" s="919"/>
      <c r="F12" s="917" t="s">
        <v>259</v>
      </c>
      <c r="G12" s="919"/>
      <c r="H12" s="920" t="s">
        <v>260</v>
      </c>
      <c r="I12" s="1436" t="s">
        <v>177</v>
      </c>
      <c r="J12" s="1437"/>
    </row>
    <row r="13" spans="1:10" s="31" customFormat="1" ht="16.5" customHeight="1">
      <c r="B13" s="1470"/>
      <c r="C13" s="1438" t="s">
        <v>145</v>
      </c>
      <c r="D13" s="1439"/>
      <c r="E13" s="1440"/>
      <c r="F13" s="924"/>
      <c r="G13" s="925"/>
      <c r="H13" s="921"/>
      <c r="I13" s="1441"/>
      <c r="J13" s="1442"/>
    </row>
    <row r="14" spans="1:10" s="31" customFormat="1" ht="16.5" customHeight="1">
      <c r="B14" s="1470"/>
      <c r="C14" s="1450" t="s">
        <v>674</v>
      </c>
      <c r="D14" s="1451"/>
      <c r="E14" s="1452"/>
      <c r="F14" s="199">
        <v>240</v>
      </c>
      <c r="G14" s="76" t="s">
        <v>675</v>
      </c>
      <c r="H14" s="922" t="s">
        <v>708</v>
      </c>
      <c r="I14" s="1426"/>
      <c r="J14" s="1427"/>
    </row>
    <row r="15" spans="1:10" s="31" customFormat="1" ht="16.5" customHeight="1">
      <c r="B15" s="1470"/>
      <c r="C15" s="1450" t="s">
        <v>676</v>
      </c>
      <c r="D15" s="1451"/>
      <c r="E15" s="1452"/>
      <c r="F15" s="1023">
        <v>280</v>
      </c>
      <c r="G15" s="76" t="s">
        <v>146</v>
      </c>
      <c r="H15" s="922" t="s">
        <v>708</v>
      </c>
      <c r="I15" s="1426"/>
      <c r="J15" s="1427"/>
    </row>
    <row r="16" spans="1:10" s="31" customFormat="1" ht="16.5" customHeight="1">
      <c r="B16" s="1470"/>
      <c r="C16" s="1450" t="s">
        <v>677</v>
      </c>
      <c r="D16" s="1451"/>
      <c r="E16" s="1452"/>
      <c r="F16" s="199">
        <v>340</v>
      </c>
      <c r="G16" s="76" t="s">
        <v>675</v>
      </c>
      <c r="H16" s="922" t="s">
        <v>708</v>
      </c>
      <c r="I16" s="1426"/>
      <c r="J16" s="1427"/>
    </row>
    <row r="17" spans="2:13" s="31" customFormat="1" ht="16.5" customHeight="1">
      <c r="B17" s="1470"/>
      <c r="C17" s="1450" t="s">
        <v>679</v>
      </c>
      <c r="D17" s="1451"/>
      <c r="E17" s="1452"/>
      <c r="F17" s="199">
        <v>140</v>
      </c>
      <c r="G17" s="76" t="s">
        <v>146</v>
      </c>
      <c r="H17" s="922" t="s">
        <v>708</v>
      </c>
      <c r="I17" s="1426"/>
      <c r="J17" s="1427"/>
    </row>
    <row r="18" spans="2:13" s="31" customFormat="1" ht="16.5" customHeight="1">
      <c r="B18" s="1470"/>
      <c r="C18" s="1450" t="s">
        <v>680</v>
      </c>
      <c r="D18" s="1451"/>
      <c r="E18" s="1452"/>
      <c r="F18" s="199">
        <v>120</v>
      </c>
      <c r="G18" s="76" t="s">
        <v>675</v>
      </c>
      <c r="H18" s="922" t="s">
        <v>708</v>
      </c>
      <c r="I18" s="1426"/>
      <c r="J18" s="1427"/>
    </row>
    <row r="19" spans="2:13" s="31" customFormat="1" ht="16.5" customHeight="1">
      <c r="B19" s="1470"/>
      <c r="C19" s="1450" t="s">
        <v>74</v>
      </c>
      <c r="D19" s="1451"/>
      <c r="E19" s="1452"/>
      <c r="F19" s="199">
        <v>1440</v>
      </c>
      <c r="G19" s="76" t="s">
        <v>51</v>
      </c>
      <c r="H19" s="922" t="s">
        <v>708</v>
      </c>
      <c r="I19" s="1426"/>
      <c r="J19" s="1427"/>
    </row>
    <row r="20" spans="2:13" s="31" customFormat="1" ht="16.5" customHeight="1">
      <c r="B20" s="1470"/>
      <c r="C20" s="1450" t="s">
        <v>144</v>
      </c>
      <c r="D20" s="1451"/>
      <c r="E20" s="1452"/>
      <c r="F20" s="199">
        <v>825</v>
      </c>
      <c r="G20" s="76" t="s">
        <v>57</v>
      </c>
      <c r="H20" s="922" t="s">
        <v>708</v>
      </c>
      <c r="I20" s="1426"/>
      <c r="J20" s="1427"/>
    </row>
    <row r="21" spans="2:13" s="31" customFormat="1" ht="16.5" customHeight="1">
      <c r="B21" s="1470"/>
      <c r="C21" s="1450" t="s">
        <v>122</v>
      </c>
      <c r="D21" s="1451"/>
      <c r="E21" s="1452"/>
      <c r="F21" s="199">
        <v>79</v>
      </c>
      <c r="G21" s="76" t="s">
        <v>57</v>
      </c>
      <c r="H21" s="922" t="s">
        <v>708</v>
      </c>
      <c r="I21" s="1426"/>
      <c r="J21" s="1427"/>
    </row>
    <row r="22" spans="2:13" s="31" customFormat="1" ht="16.5" customHeight="1">
      <c r="B22" s="1470"/>
      <c r="C22" s="1450" t="s">
        <v>681</v>
      </c>
      <c r="D22" s="1451"/>
      <c r="E22" s="1452"/>
      <c r="F22" s="199">
        <v>225</v>
      </c>
      <c r="G22" s="76" t="s">
        <v>57</v>
      </c>
      <c r="H22" s="922" t="s">
        <v>708</v>
      </c>
      <c r="I22" s="1426"/>
      <c r="J22" s="1427"/>
    </row>
    <row r="23" spans="2:13" s="31" customFormat="1" ht="16.5" customHeight="1">
      <c r="B23" s="1470"/>
      <c r="C23" s="1450" t="s">
        <v>71</v>
      </c>
      <c r="D23" s="1451"/>
      <c r="E23" s="1452"/>
      <c r="F23" s="199">
        <v>76</v>
      </c>
      <c r="G23" s="76" t="s">
        <v>57</v>
      </c>
      <c r="H23" s="922" t="s">
        <v>708</v>
      </c>
      <c r="I23" s="1426"/>
      <c r="J23" s="1427"/>
    </row>
    <row r="24" spans="2:13" s="31" customFormat="1" ht="16.5" customHeight="1">
      <c r="B24" s="1470"/>
      <c r="C24" s="1450" t="s">
        <v>682</v>
      </c>
      <c r="D24" s="1451"/>
      <c r="E24" s="1452"/>
      <c r="F24" s="199">
        <v>334</v>
      </c>
      <c r="G24" s="76" t="s">
        <v>55</v>
      </c>
      <c r="H24" s="922" t="s">
        <v>708</v>
      </c>
      <c r="I24" s="1426"/>
      <c r="J24" s="1427"/>
    </row>
    <row r="25" spans="2:13" s="31" customFormat="1" ht="16.5" customHeight="1">
      <c r="B25" s="1470"/>
      <c r="C25" s="1450" t="s">
        <v>683</v>
      </c>
      <c r="D25" s="1451"/>
      <c r="E25" s="1452"/>
      <c r="F25" s="199">
        <v>200</v>
      </c>
      <c r="G25" s="76" t="s">
        <v>55</v>
      </c>
      <c r="H25" s="922" t="s">
        <v>708</v>
      </c>
      <c r="I25" s="1426"/>
      <c r="J25" s="1427"/>
      <c r="M25" s="31" t="s">
        <v>143</v>
      </c>
    </row>
    <row r="26" spans="2:13" s="31" customFormat="1" ht="16.5" customHeight="1">
      <c r="B26" s="1470"/>
      <c r="C26" s="1450" t="s">
        <v>684</v>
      </c>
      <c r="D26" s="1451"/>
      <c r="E26" s="1452"/>
      <c r="F26" s="199">
        <v>121</v>
      </c>
      <c r="G26" s="76" t="s">
        <v>55</v>
      </c>
      <c r="H26" s="922" t="s">
        <v>708</v>
      </c>
      <c r="I26" s="1426"/>
      <c r="J26" s="1427"/>
    </row>
    <row r="27" spans="2:13" s="31" customFormat="1" ht="16.5" customHeight="1">
      <c r="B27" s="1470"/>
      <c r="C27" s="1450" t="s">
        <v>685</v>
      </c>
      <c r="D27" s="1451"/>
      <c r="E27" s="1452"/>
      <c r="F27" s="199">
        <v>30</v>
      </c>
      <c r="G27" s="76" t="s">
        <v>166</v>
      </c>
      <c r="H27" s="922" t="s">
        <v>708</v>
      </c>
      <c r="I27" s="1426"/>
      <c r="J27" s="1427"/>
    </row>
    <row r="28" spans="2:13" s="31" customFormat="1" ht="16.5" customHeight="1">
      <c r="B28" s="1470"/>
      <c r="C28" s="1450" t="s">
        <v>686</v>
      </c>
      <c r="D28" s="1451"/>
      <c r="E28" s="1452"/>
      <c r="F28" s="199">
        <v>468</v>
      </c>
      <c r="G28" s="76" t="s">
        <v>57</v>
      </c>
      <c r="H28" s="922" t="s">
        <v>708</v>
      </c>
      <c r="I28" s="1426"/>
      <c r="J28" s="1427"/>
    </row>
    <row r="29" spans="2:13" s="31" customFormat="1" ht="16.5" customHeight="1">
      <c r="B29" s="1470"/>
      <c r="C29" s="1450" t="s">
        <v>687</v>
      </c>
      <c r="D29" s="1451"/>
      <c r="E29" s="1452"/>
      <c r="F29" s="199">
        <v>290</v>
      </c>
      <c r="G29" s="1024" t="s">
        <v>57</v>
      </c>
      <c r="H29" s="922" t="s">
        <v>708</v>
      </c>
      <c r="I29" s="1426"/>
      <c r="J29" s="1427"/>
    </row>
    <row r="30" spans="2:13" s="31" customFormat="1" ht="16.5" customHeight="1">
      <c r="B30" s="1470"/>
      <c r="C30" s="1450" t="s">
        <v>688</v>
      </c>
      <c r="D30" s="1451"/>
      <c r="E30" s="1452"/>
      <c r="F30" s="199">
        <v>317</v>
      </c>
      <c r="G30" s="76" t="s">
        <v>57</v>
      </c>
      <c r="H30" s="922" t="s">
        <v>708</v>
      </c>
      <c r="I30" s="1426"/>
      <c r="J30" s="1427"/>
    </row>
    <row r="31" spans="2:13" s="31" customFormat="1" ht="16.5" customHeight="1">
      <c r="B31" s="1470"/>
      <c r="C31" s="1450" t="s">
        <v>689</v>
      </c>
      <c r="D31" s="1451"/>
      <c r="E31" s="1452"/>
      <c r="F31" s="199">
        <v>25</v>
      </c>
      <c r="G31" s="76" t="s">
        <v>77</v>
      </c>
      <c r="H31" s="922" t="s">
        <v>708</v>
      </c>
      <c r="I31" s="1426"/>
      <c r="J31" s="1427"/>
    </row>
    <row r="32" spans="2:13" s="31" customFormat="1" ht="16.5" customHeight="1">
      <c r="B32" s="1470"/>
      <c r="C32" s="1450" t="s">
        <v>690</v>
      </c>
      <c r="D32" s="1451"/>
      <c r="E32" s="1452"/>
      <c r="F32" s="199">
        <v>27</v>
      </c>
      <c r="G32" s="76" t="s">
        <v>124</v>
      </c>
      <c r="H32" s="922" t="s">
        <v>708</v>
      </c>
      <c r="I32" s="1426"/>
      <c r="J32" s="1427"/>
    </row>
    <row r="33" spans="2:10" s="31" customFormat="1" ht="16.5" customHeight="1">
      <c r="B33" s="1470"/>
      <c r="C33" s="1450" t="s">
        <v>866</v>
      </c>
      <c r="D33" s="1451"/>
      <c r="E33" s="1452"/>
      <c r="F33" s="199">
        <v>13</v>
      </c>
      <c r="G33" s="76" t="s">
        <v>166</v>
      </c>
      <c r="H33" s="922" t="s">
        <v>708</v>
      </c>
      <c r="I33" s="1426"/>
      <c r="J33" s="1427"/>
    </row>
    <row r="34" spans="2:10" s="31" customFormat="1" ht="16.5" customHeight="1">
      <c r="B34" s="1470"/>
      <c r="C34" s="1450" t="s">
        <v>691</v>
      </c>
      <c r="D34" s="1451"/>
      <c r="E34" s="1452"/>
      <c r="F34" s="199">
        <v>70</v>
      </c>
      <c r="G34" s="76" t="s">
        <v>166</v>
      </c>
      <c r="H34" s="922" t="s">
        <v>708</v>
      </c>
      <c r="I34" s="1426"/>
      <c r="J34" s="1427"/>
    </row>
    <row r="35" spans="2:10" s="31" customFormat="1" ht="16.5" customHeight="1">
      <c r="B35" s="1470"/>
      <c r="C35" s="1450" t="s">
        <v>692</v>
      </c>
      <c r="D35" s="1451"/>
      <c r="E35" s="1452"/>
      <c r="F35" s="1023">
        <v>90</v>
      </c>
      <c r="G35" s="76" t="s">
        <v>77</v>
      </c>
      <c r="H35" s="922" t="s">
        <v>708</v>
      </c>
      <c r="I35" s="1426"/>
      <c r="J35" s="1427"/>
    </row>
    <row r="36" spans="2:10" s="31" customFormat="1" ht="16.5" customHeight="1">
      <c r="B36" s="1470"/>
      <c r="C36" s="1450" t="s">
        <v>693</v>
      </c>
      <c r="D36" s="1451"/>
      <c r="E36" s="1452"/>
      <c r="F36" s="199">
        <v>20</v>
      </c>
      <c r="G36" s="76" t="s">
        <v>166</v>
      </c>
      <c r="H36" s="922" t="s">
        <v>708</v>
      </c>
      <c r="I36" s="1426"/>
      <c r="J36" s="1427"/>
    </row>
    <row r="37" spans="2:10" s="31" customFormat="1" ht="16.5" customHeight="1">
      <c r="B37" s="1470"/>
      <c r="C37" s="1450" t="s">
        <v>694</v>
      </c>
      <c r="D37" s="1451"/>
      <c r="E37" s="1452"/>
      <c r="F37" s="199">
        <v>40</v>
      </c>
      <c r="G37" s="76" t="s">
        <v>166</v>
      </c>
      <c r="H37" s="922" t="s">
        <v>708</v>
      </c>
      <c r="I37" s="1426"/>
      <c r="J37" s="1427"/>
    </row>
    <row r="38" spans="2:10" s="31" customFormat="1" ht="16.5" customHeight="1">
      <c r="B38" s="1470"/>
      <c r="C38" s="1450" t="s">
        <v>695</v>
      </c>
      <c r="D38" s="1451"/>
      <c r="E38" s="1452"/>
      <c r="F38" s="199">
        <v>224</v>
      </c>
      <c r="G38" s="76" t="s">
        <v>55</v>
      </c>
      <c r="H38" s="922" t="s">
        <v>708</v>
      </c>
      <c r="I38" s="1426"/>
      <c r="J38" s="1427"/>
    </row>
    <row r="39" spans="2:10" s="31" customFormat="1" ht="16.5" customHeight="1">
      <c r="B39" s="1470"/>
      <c r="C39" s="1450" t="s">
        <v>696</v>
      </c>
      <c r="D39" s="1451"/>
      <c r="E39" s="1452"/>
      <c r="F39" s="1025">
        <v>14</v>
      </c>
      <c r="G39" s="76" t="s">
        <v>166</v>
      </c>
      <c r="H39" s="922" t="s">
        <v>708</v>
      </c>
      <c r="I39" s="1426"/>
      <c r="J39" s="1427"/>
    </row>
    <row r="40" spans="2:10" s="31" customFormat="1" ht="16.5" customHeight="1">
      <c r="B40" s="1470"/>
      <c r="C40" s="1450" t="s">
        <v>697</v>
      </c>
      <c r="D40" s="1451"/>
      <c r="E40" s="1452"/>
      <c r="F40" s="1026">
        <v>43</v>
      </c>
      <c r="G40" s="1027" t="s">
        <v>124</v>
      </c>
      <c r="H40" s="922" t="s">
        <v>708</v>
      </c>
      <c r="I40" s="1426"/>
      <c r="J40" s="1427"/>
    </row>
    <row r="41" spans="2:10" s="31" customFormat="1" ht="16.5" customHeight="1">
      <c r="B41" s="1470"/>
      <c r="C41" s="1450" t="s">
        <v>698</v>
      </c>
      <c r="D41" s="1451"/>
      <c r="E41" s="1452"/>
      <c r="F41" s="1026">
        <v>32</v>
      </c>
      <c r="G41" s="1027" t="s">
        <v>77</v>
      </c>
      <c r="H41" s="922" t="s">
        <v>708</v>
      </c>
      <c r="I41" s="1426"/>
      <c r="J41" s="1427"/>
    </row>
    <row r="42" spans="2:10" s="31" customFormat="1" ht="16.5" customHeight="1">
      <c r="B42" s="1470"/>
      <c r="C42" s="1450" t="s">
        <v>72</v>
      </c>
      <c r="D42" s="1451"/>
      <c r="E42" s="1452"/>
      <c r="F42" s="1026">
        <v>45</v>
      </c>
      <c r="G42" s="1027" t="s">
        <v>124</v>
      </c>
      <c r="H42" s="922" t="s">
        <v>708</v>
      </c>
      <c r="I42" s="1426"/>
      <c r="J42" s="1427"/>
    </row>
    <row r="43" spans="2:10" s="31" customFormat="1" ht="16.5" customHeight="1">
      <c r="B43" s="1470"/>
      <c r="C43" s="1450" t="s">
        <v>699</v>
      </c>
      <c r="D43" s="1451"/>
      <c r="E43" s="1452"/>
      <c r="F43" s="1026">
        <v>28</v>
      </c>
      <c r="G43" s="1027" t="s">
        <v>57</v>
      </c>
      <c r="H43" s="922" t="s">
        <v>708</v>
      </c>
      <c r="I43" s="1426"/>
      <c r="J43" s="1427"/>
    </row>
    <row r="44" spans="2:10" s="31" customFormat="1" ht="16.5" customHeight="1">
      <c r="B44" s="1470"/>
      <c r="C44" s="1450" t="s">
        <v>700</v>
      </c>
      <c r="D44" s="1451"/>
      <c r="E44" s="1452"/>
      <c r="F44" s="199">
        <v>14</v>
      </c>
      <c r="G44" s="76" t="s">
        <v>678</v>
      </c>
      <c r="H44" s="922" t="s">
        <v>708</v>
      </c>
      <c r="I44" s="1426"/>
      <c r="J44" s="1427"/>
    </row>
    <row r="45" spans="2:10" s="31" customFormat="1" ht="16.5" customHeight="1">
      <c r="B45" s="1470"/>
      <c r="C45" s="201" t="s">
        <v>746</v>
      </c>
      <c r="D45" s="62"/>
      <c r="E45" s="63"/>
      <c r="F45" s="199">
        <v>33</v>
      </c>
      <c r="G45" s="76" t="s">
        <v>57</v>
      </c>
      <c r="H45" s="922" t="s">
        <v>708</v>
      </c>
      <c r="I45" s="1426"/>
      <c r="J45" s="1427"/>
    </row>
    <row r="46" spans="2:10" s="31" customFormat="1" ht="16.5" customHeight="1">
      <c r="B46" s="1470"/>
      <c r="C46" s="1456" t="s">
        <v>673</v>
      </c>
      <c r="D46" s="1457"/>
      <c r="E46" s="1458"/>
      <c r="F46" s="78"/>
      <c r="G46" s="72"/>
      <c r="H46" s="922"/>
      <c r="I46" s="1426"/>
      <c r="J46" s="1427"/>
    </row>
    <row r="47" spans="2:10" s="31" customFormat="1" ht="16.5" customHeight="1">
      <c r="B47" s="1470"/>
      <c r="C47" s="1468" t="s">
        <v>671</v>
      </c>
      <c r="D47" s="1454"/>
      <c r="E47" s="1455"/>
      <c r="F47" s="978"/>
      <c r="G47" s="76" t="s">
        <v>111</v>
      </c>
      <c r="H47" s="926" t="s">
        <v>703</v>
      </c>
      <c r="I47" s="1426"/>
      <c r="J47" s="1427"/>
    </row>
    <row r="48" spans="2:10" s="31" customFormat="1" ht="16.5" customHeight="1">
      <c r="B48" s="1470"/>
      <c r="C48" s="1468" t="s">
        <v>672</v>
      </c>
      <c r="D48" s="1454"/>
      <c r="E48" s="1455"/>
      <c r="F48" s="283"/>
      <c r="G48" s="76" t="s">
        <v>111</v>
      </c>
      <c r="H48" s="926" t="s">
        <v>704</v>
      </c>
      <c r="I48" s="1426"/>
      <c r="J48" s="1427"/>
    </row>
    <row r="49" spans="2:10" s="31" customFormat="1" ht="16.5" customHeight="1">
      <c r="B49" s="1470"/>
      <c r="C49" s="1453" t="s">
        <v>147</v>
      </c>
      <c r="D49" s="1454"/>
      <c r="E49" s="1455"/>
      <c r="F49" s="978"/>
      <c r="G49" s="76" t="s">
        <v>112</v>
      </c>
      <c r="H49" s="922" t="s">
        <v>705</v>
      </c>
      <c r="I49" s="1426"/>
      <c r="J49" s="1427"/>
    </row>
    <row r="50" spans="2:10" s="31" customFormat="1" ht="16.5" customHeight="1">
      <c r="B50" s="1470"/>
      <c r="C50" s="1453" t="s">
        <v>148</v>
      </c>
      <c r="D50" s="1454"/>
      <c r="E50" s="1455"/>
      <c r="F50" s="284"/>
      <c r="G50" s="76" t="s">
        <v>111</v>
      </c>
      <c r="H50" s="922" t="s">
        <v>706</v>
      </c>
      <c r="I50" s="1426"/>
      <c r="J50" s="1427"/>
    </row>
    <row r="51" spans="2:10" s="31" customFormat="1" ht="16.5" customHeight="1">
      <c r="B51" s="1470"/>
      <c r="C51" s="1453"/>
      <c r="D51" s="1454"/>
      <c r="E51" s="1455"/>
      <c r="F51" s="285"/>
      <c r="G51" s="76"/>
      <c r="H51" s="922"/>
      <c r="I51" s="1426"/>
      <c r="J51" s="1427"/>
    </row>
    <row r="52" spans="2:10" s="13" customFormat="1" ht="16.5" customHeight="1">
      <c r="B52" s="1470"/>
      <c r="C52" s="1456" t="s">
        <v>69</v>
      </c>
      <c r="D52" s="1457"/>
      <c r="E52" s="1458"/>
      <c r="F52" s="199"/>
      <c r="G52" s="76"/>
      <c r="H52" s="922"/>
      <c r="I52" s="1426"/>
      <c r="J52" s="1427"/>
    </row>
    <row r="53" spans="2:10" s="13" customFormat="1" ht="16.5" customHeight="1">
      <c r="B53" s="1470"/>
      <c r="C53" s="1453" t="s">
        <v>54</v>
      </c>
      <c r="D53" s="1454"/>
      <c r="E53" s="1455"/>
      <c r="F53" s="202"/>
      <c r="G53" s="76" t="s">
        <v>55</v>
      </c>
      <c r="H53" s="922" t="s">
        <v>707</v>
      </c>
      <c r="I53" s="1426"/>
      <c r="J53" s="1427"/>
    </row>
    <row r="54" spans="2:10" s="13" customFormat="1" ht="16.5" customHeight="1">
      <c r="B54" s="1470"/>
      <c r="C54" s="1453" t="s">
        <v>56</v>
      </c>
      <c r="D54" s="1454"/>
      <c r="E54" s="1455"/>
      <c r="F54" s="202"/>
      <c r="G54" s="76" t="s">
        <v>55</v>
      </c>
      <c r="H54" s="922" t="s">
        <v>707</v>
      </c>
      <c r="I54" s="1426"/>
      <c r="J54" s="1427"/>
    </row>
    <row r="55" spans="2:10" s="13" customFormat="1" ht="16.5" customHeight="1">
      <c r="B55" s="1470"/>
      <c r="C55" s="79"/>
      <c r="D55" s="62"/>
      <c r="E55" s="64"/>
      <c r="F55" s="78"/>
      <c r="G55" s="76"/>
      <c r="H55" s="922"/>
      <c r="I55" s="1426"/>
      <c r="J55" s="1427"/>
    </row>
    <row r="56" spans="2:10" s="13" customFormat="1" ht="16.5" customHeight="1">
      <c r="B56" s="1470"/>
      <c r="C56" s="79"/>
      <c r="D56" s="62"/>
      <c r="E56" s="64"/>
      <c r="F56" s="78"/>
      <c r="G56" s="76"/>
      <c r="H56" s="922"/>
      <c r="I56" s="1426"/>
      <c r="J56" s="1427"/>
    </row>
    <row r="57" spans="2:10" s="13" customFormat="1" ht="16.5" customHeight="1">
      <c r="B57" s="1470"/>
      <c r="C57" s="79"/>
      <c r="D57" s="65"/>
      <c r="E57" s="64"/>
      <c r="F57" s="78"/>
      <c r="G57" s="77"/>
      <c r="H57" s="922"/>
      <c r="I57" s="1426"/>
      <c r="J57" s="1427"/>
    </row>
    <row r="58" spans="2:10" s="13" customFormat="1" ht="16.5" customHeight="1">
      <c r="B58" s="1470"/>
      <c r="C58" s="79"/>
      <c r="D58" s="65"/>
      <c r="E58" s="64"/>
      <c r="F58" s="78"/>
      <c r="G58" s="77"/>
      <c r="H58" s="923"/>
      <c r="I58" s="1428"/>
      <c r="J58" s="1429"/>
    </row>
    <row r="59" spans="2:10" s="13" customFormat="1" ht="37.5" customHeight="1">
      <c r="B59" s="71" t="s">
        <v>173</v>
      </c>
      <c r="C59" s="80" t="s">
        <v>76</v>
      </c>
      <c r="D59" s="67"/>
      <c r="E59" s="68"/>
      <c r="F59" s="66"/>
      <c r="G59" s="73"/>
      <c r="H59" s="74"/>
      <c r="I59" s="69"/>
      <c r="J59" s="75"/>
    </row>
    <row r="60" spans="2:10" s="16" customFormat="1" ht="29.25" customHeight="1">
      <c r="B60" s="14"/>
      <c r="C60" s="59" t="s">
        <v>38</v>
      </c>
      <c r="D60" s="59"/>
      <c r="E60" s="15"/>
      <c r="F60" s="15"/>
      <c r="G60" s="12"/>
      <c r="H60" s="15"/>
      <c r="I60" s="12"/>
      <c r="J60" s="12"/>
    </row>
    <row r="61" spans="2:10">
      <c r="G61" s="11"/>
    </row>
    <row r="62" spans="2:10" ht="15">
      <c r="G62" s="11"/>
      <c r="H62" s="1466" t="str">
        <f>M.Menu!S16</f>
        <v>CAPT. WENDT ROBERT</v>
      </c>
      <c r="I62" s="1467"/>
      <c r="J62" s="1467"/>
    </row>
    <row r="63" spans="2:10">
      <c r="B63" s="18"/>
      <c r="C63" s="19"/>
      <c r="D63" s="19"/>
      <c r="E63" s="19"/>
      <c r="F63" s="19"/>
      <c r="G63" s="21"/>
      <c r="H63" s="1469" t="s">
        <v>39</v>
      </c>
      <c r="I63" s="1469"/>
      <c r="J63" s="1469"/>
    </row>
    <row r="64" spans="2:10">
      <c r="G64" s="11"/>
    </row>
    <row r="65" spans="7:7">
      <c r="G65" s="11"/>
    </row>
    <row r="66" spans="7:7">
      <c r="G66" s="11"/>
    </row>
    <row r="67" spans="7:7">
      <c r="G67" s="11"/>
    </row>
    <row r="68" spans="7:7">
      <c r="G68" s="11"/>
    </row>
    <row r="69" spans="7:7">
      <c r="G69" s="11"/>
    </row>
    <row r="70" spans="7:7">
      <c r="G70" s="11"/>
    </row>
    <row r="71" spans="7:7">
      <c r="G71" s="11"/>
    </row>
    <row r="72" spans="7:7">
      <c r="G72" s="11"/>
    </row>
    <row r="73" spans="7:7">
      <c r="G73" s="11"/>
    </row>
    <row r="74" spans="7:7">
      <c r="G74" s="11"/>
    </row>
    <row r="75" spans="7:7">
      <c r="G75" s="11"/>
    </row>
    <row r="76" spans="7:7">
      <c r="G76" s="11"/>
    </row>
    <row r="77" spans="7:7">
      <c r="G77" s="11"/>
    </row>
    <row r="78" spans="7:7">
      <c r="G78" s="11"/>
    </row>
    <row r="79" spans="7:7">
      <c r="G79" s="11"/>
    </row>
    <row r="80" spans="7:7">
      <c r="G80" s="11"/>
    </row>
    <row r="86" spans="4:8">
      <c r="D86" s="58"/>
      <c r="E86" s="45"/>
      <c r="F86" s="116"/>
      <c r="G86" s="116"/>
      <c r="H86" s="117"/>
    </row>
    <row r="87" spans="4:8" ht="14.25">
      <c r="D87" s="1461"/>
      <c r="E87" s="1462"/>
      <c r="F87" s="1462"/>
      <c r="G87" s="1462"/>
      <c r="H87" s="1463"/>
    </row>
  </sheetData>
  <mergeCells count="101">
    <mergeCell ref="B2:J2"/>
    <mergeCell ref="C5:E5"/>
    <mergeCell ref="D87:H87"/>
    <mergeCell ref="I7:J7"/>
    <mergeCell ref="H62:J62"/>
    <mergeCell ref="C46:E46"/>
    <mergeCell ref="I28:J28"/>
    <mergeCell ref="I29:J29"/>
    <mergeCell ref="C47:E47"/>
    <mergeCell ref="C48:E48"/>
    <mergeCell ref="C49:E49"/>
    <mergeCell ref="C50:E50"/>
    <mergeCell ref="C51:E51"/>
    <mergeCell ref="H63:J63"/>
    <mergeCell ref="B6:B5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C23:E23"/>
    <mergeCell ref="C24:E24"/>
    <mergeCell ref="C25:E25"/>
    <mergeCell ref="C26:E26"/>
    <mergeCell ref="C54:E54"/>
    <mergeCell ref="C14:E14"/>
    <mergeCell ref="C15:E15"/>
    <mergeCell ref="C16:E16"/>
    <mergeCell ref="C17:E17"/>
    <mergeCell ref="C18:E18"/>
    <mergeCell ref="C19:E19"/>
    <mergeCell ref="C20:E20"/>
    <mergeCell ref="C21:E21"/>
    <mergeCell ref="C52:E52"/>
    <mergeCell ref="C53:E53"/>
    <mergeCell ref="I14:J14"/>
    <mergeCell ref="I15:J15"/>
    <mergeCell ref="I16:J16"/>
    <mergeCell ref="I17:J17"/>
    <mergeCell ref="I18:J18"/>
    <mergeCell ref="C42:E42"/>
    <mergeCell ref="C43:E43"/>
    <mergeCell ref="C44:E44"/>
    <mergeCell ref="C37:E37"/>
    <mergeCell ref="C38:E38"/>
    <mergeCell ref="C39:E39"/>
    <mergeCell ref="C40:E40"/>
    <mergeCell ref="C41:E41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H8:J8"/>
    <mergeCell ref="H9:J9"/>
    <mergeCell ref="I12:J12"/>
    <mergeCell ref="C13:E13"/>
    <mergeCell ref="I13:J13"/>
    <mergeCell ref="C10:G10"/>
    <mergeCell ref="C11:G11"/>
    <mergeCell ref="I10:J10"/>
    <mergeCell ref="I11:J11"/>
    <mergeCell ref="I35:J35"/>
    <mergeCell ref="I36:J36"/>
    <mergeCell ref="I37:J37"/>
    <mergeCell ref="I38:J38"/>
    <mergeCell ref="I39:J39"/>
    <mergeCell ref="I30:J30"/>
    <mergeCell ref="I31:J31"/>
    <mergeCell ref="I32:J32"/>
    <mergeCell ref="I33:J33"/>
    <mergeCell ref="I34:J34"/>
    <mergeCell ref="I45:J45"/>
    <mergeCell ref="I46:J46"/>
    <mergeCell ref="I47:J47"/>
    <mergeCell ref="I48:J48"/>
    <mergeCell ref="I49:J49"/>
    <mergeCell ref="I40:J40"/>
    <mergeCell ref="I41:J41"/>
    <mergeCell ref="I42:J42"/>
    <mergeCell ref="I43:J43"/>
    <mergeCell ref="I44:J44"/>
    <mergeCell ref="I55:J55"/>
    <mergeCell ref="I56:J56"/>
    <mergeCell ref="I57:J57"/>
    <mergeCell ref="I58:J58"/>
    <mergeCell ref="I50:J50"/>
    <mergeCell ref="I51:J51"/>
    <mergeCell ref="I52:J52"/>
    <mergeCell ref="I53:J53"/>
    <mergeCell ref="I54:J54"/>
  </mergeCells>
  <phoneticPr fontId="23" type="noConversion"/>
  <printOptions horizontalCentered="1" verticalCentered="1"/>
  <pageMargins left="0.4" right="0.28999999999999998" top="0.35" bottom="0.25" header="7.0000000000000007E-2" footer="0"/>
  <pageSetup paperSize="9" scale="75" orientation="portrait" blackAndWhite="1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CD51-8EE8-4E19-A7AF-45B87747A62A}">
  <sheetPr>
    <tabColor rgb="FF008000"/>
    <pageSetUpPr fitToPage="1"/>
  </sheetPr>
  <dimension ref="A1:U64"/>
  <sheetViews>
    <sheetView showGridLines="0" showZeros="0" view="pageBreakPreview" topLeftCell="A31" zoomScale="85" zoomScaleNormal="70" zoomScaleSheetLayoutView="85" workbookViewId="0">
      <selection activeCell="C29" sqref="C29"/>
    </sheetView>
  </sheetViews>
  <sheetFormatPr defaultColWidth="9.140625" defaultRowHeight="12.75"/>
  <cols>
    <col min="1" max="1" width="1.5703125" style="501" customWidth="1"/>
    <col min="2" max="2" width="6" style="502" customWidth="1"/>
    <col min="3" max="3" width="29.140625" style="502" customWidth="1"/>
    <col min="4" max="4" width="31.5703125" style="502" customWidth="1"/>
    <col min="5" max="5" width="10" style="502" customWidth="1"/>
    <col min="6" max="6" width="18.140625" style="502" customWidth="1"/>
    <col min="7" max="7" width="13.28515625" style="505" bestFit="1" customWidth="1"/>
    <col min="8" max="8" width="16.28515625" style="504" customWidth="1"/>
    <col min="9" max="9" width="4.7109375" style="504" hidden="1" customWidth="1"/>
    <col min="10" max="10" width="8.85546875" style="504" customWidth="1"/>
    <col min="11" max="11" width="12.7109375" style="504" customWidth="1"/>
    <col min="12" max="13" width="22.28515625" style="502" customWidth="1"/>
    <col min="14" max="16384" width="9.140625" style="501"/>
  </cols>
  <sheetData>
    <row r="1" spans="1:17" s="460" customFormat="1" ht="27" customHeight="1" thickBot="1">
      <c r="A1" s="865" t="s">
        <v>143</v>
      </c>
      <c r="B1" s="461"/>
      <c r="C1" s="461"/>
      <c r="D1" s="461"/>
      <c r="E1" s="461"/>
      <c r="F1" s="461"/>
      <c r="G1" s="462"/>
      <c r="H1" s="463"/>
      <c r="I1" s="463"/>
      <c r="J1" s="463"/>
      <c r="K1" s="463"/>
      <c r="L1" s="461"/>
      <c r="M1" s="461"/>
    </row>
    <row r="2" spans="1:17" s="460" customFormat="1" ht="30" customHeight="1">
      <c r="A2" s="864"/>
      <c r="B2" s="1471" t="s">
        <v>738</v>
      </c>
      <c r="C2" s="1472"/>
      <c r="D2" s="1472"/>
      <c r="E2" s="1472"/>
      <c r="F2" s="1472"/>
      <c r="G2" s="1472"/>
      <c r="H2" s="1472"/>
      <c r="I2" s="1472"/>
      <c r="J2" s="1472"/>
      <c r="K2" s="1472"/>
      <c r="L2" s="1472"/>
      <c r="M2" s="1473"/>
    </row>
    <row r="3" spans="1:17" s="460" customFormat="1" ht="14.25" customHeight="1" thickBot="1">
      <c r="A3" s="858"/>
      <c r="B3" s="1474"/>
      <c r="C3" s="1475"/>
      <c r="D3" s="1475"/>
      <c r="E3" s="1475"/>
      <c r="F3" s="1475"/>
      <c r="G3" s="1475"/>
      <c r="H3" s="1475"/>
      <c r="I3" s="1475"/>
      <c r="J3" s="1475"/>
      <c r="K3" s="1475"/>
      <c r="L3" s="1475"/>
      <c r="M3" s="1476"/>
    </row>
    <row r="4" spans="1:17" s="468" customFormat="1" ht="13.5" customHeight="1">
      <c r="A4" s="464"/>
      <c r="B4" s="859"/>
      <c r="C4" s="465"/>
      <c r="D4" s="465"/>
      <c r="E4" s="465"/>
      <c r="F4" s="465"/>
      <c r="G4" s="466"/>
      <c r="H4" s="467"/>
      <c r="I4" s="467"/>
      <c r="J4" s="467"/>
      <c r="K4" s="467"/>
      <c r="L4" s="1112" t="s">
        <v>181</v>
      </c>
      <c r="M4" s="1114"/>
    </row>
    <row r="5" spans="1:17" s="468" customFormat="1" ht="18.75" customHeight="1" thickBot="1">
      <c r="A5" s="464"/>
      <c r="B5" s="1105"/>
      <c r="C5" s="1106"/>
      <c r="D5" s="1106"/>
      <c r="E5" s="860"/>
      <c r="F5" s="861" t="s">
        <v>87</v>
      </c>
      <c r="G5" s="862"/>
      <c r="H5" s="861"/>
      <c r="I5" s="863"/>
      <c r="J5" s="863"/>
      <c r="K5" s="863"/>
      <c r="L5" s="1115" t="s">
        <v>73</v>
      </c>
      <c r="M5" s="1117"/>
    </row>
    <row r="6" spans="1:17" s="473" customFormat="1" ht="18.95" customHeight="1" thickBot="1">
      <c r="A6" s="1111"/>
      <c r="B6" s="469" t="s">
        <v>238</v>
      </c>
      <c r="C6" s="470"/>
      <c r="D6" s="1107" t="str">
        <f>M.Menu!E3</f>
        <v>Energy Endurance</v>
      </c>
      <c r="E6" s="1107"/>
      <c r="F6" s="469" t="s">
        <v>82</v>
      </c>
      <c r="G6" s="471"/>
      <c r="H6" s="472"/>
      <c r="I6" s="1118" t="s">
        <v>210</v>
      </c>
      <c r="J6" s="1119"/>
      <c r="K6" s="1119"/>
      <c r="L6" s="1119"/>
      <c r="M6" s="1120"/>
    </row>
    <row r="7" spans="1:17" s="473" customFormat="1" ht="18.95" customHeight="1">
      <c r="A7" s="1111"/>
      <c r="B7" s="474" t="s">
        <v>250</v>
      </c>
      <c r="C7" s="475"/>
      <c r="D7" s="476" t="s">
        <v>231</v>
      </c>
      <c r="E7" s="477"/>
      <c r="F7" s="1108" t="str">
        <f>M.Menu!L11&amp;", "&amp;M.Menu!L12</f>
        <v>Sabine Pass, U.S.A.</v>
      </c>
      <c r="G7" s="1109"/>
      <c r="H7" s="1110"/>
      <c r="I7" s="1096">
        <f>M.Menu!L13</f>
        <v>46106</v>
      </c>
      <c r="J7" s="1097"/>
      <c r="K7" s="1097"/>
      <c r="L7" s="1097"/>
      <c r="M7" s="1098"/>
    </row>
    <row r="8" spans="1:17" s="473" customFormat="1" ht="18.95" customHeight="1">
      <c r="A8" s="1111"/>
      <c r="B8" s="474" t="s">
        <v>81</v>
      </c>
      <c r="C8" s="475"/>
      <c r="D8" s="478" t="str">
        <f>M.Menu!E4</f>
        <v>V7A7282</v>
      </c>
      <c r="E8" s="477"/>
      <c r="F8" s="1108" t="str">
        <f>M.Menu!E8&amp;", "&amp;M.Menu!E9</f>
        <v xml:space="preserve">NFE Transport Partners LLC, </v>
      </c>
      <c r="G8" s="1109"/>
      <c r="H8" s="1110"/>
      <c r="I8" s="1099"/>
      <c r="J8" s="1100"/>
      <c r="K8" s="1100"/>
      <c r="L8" s="1100"/>
      <c r="M8" s="1101"/>
    </row>
    <row r="9" spans="1:17" s="473" customFormat="1" ht="18.95" customHeight="1" thickBot="1">
      <c r="A9" s="1111"/>
      <c r="B9" s="479" t="s">
        <v>285</v>
      </c>
      <c r="C9" s="480"/>
      <c r="D9" s="481" t="str">
        <f>M.Menu!S13</f>
        <v>VOY16</v>
      </c>
      <c r="E9" s="482"/>
      <c r="F9" s="483"/>
      <c r="G9" s="484"/>
      <c r="H9" s="485"/>
      <c r="I9" s="1099"/>
      <c r="J9" s="1100"/>
      <c r="K9" s="1100"/>
      <c r="L9" s="1100"/>
      <c r="M9" s="1101"/>
    </row>
    <row r="10" spans="1:17" s="468" customFormat="1" ht="24" customHeight="1">
      <c r="A10" s="1111"/>
      <c r="B10" s="486" t="s">
        <v>84</v>
      </c>
      <c r="C10" s="487"/>
      <c r="D10" s="488"/>
      <c r="E10" s="489"/>
      <c r="F10" s="486" t="s">
        <v>85</v>
      </c>
      <c r="G10" s="490"/>
      <c r="H10" s="892"/>
      <c r="I10" s="1099"/>
      <c r="J10" s="1100"/>
      <c r="K10" s="1100"/>
      <c r="L10" s="1100"/>
      <c r="M10" s="1101"/>
    </row>
    <row r="11" spans="1:17" s="491" customFormat="1" ht="24" customHeight="1" thickBot="1">
      <c r="A11" s="1111"/>
      <c r="B11" s="1134" t="str">
        <f>M.Menu!L8</f>
        <v>Marshall Islands</v>
      </c>
      <c r="C11" s="1135"/>
      <c r="D11" s="1135"/>
      <c r="E11" s="1135"/>
      <c r="F11" s="1136" t="str">
        <f>M.Menu!E11&amp;", "&amp;M.Menu!E12</f>
        <v>BARCARENA, BRAZIL</v>
      </c>
      <c r="G11" s="1137"/>
      <c r="H11" s="1138"/>
      <c r="I11" s="1102"/>
      <c r="J11" s="1103"/>
      <c r="K11" s="1103"/>
      <c r="L11" s="1103"/>
      <c r="M11" s="1104"/>
    </row>
    <row r="12" spans="1:17" s="493" customFormat="1" ht="17.100000000000001" customHeight="1">
      <c r="A12" s="1111"/>
      <c r="B12" s="1123" t="s">
        <v>241</v>
      </c>
      <c r="C12" s="1123" t="s">
        <v>242</v>
      </c>
      <c r="D12" s="1123" t="s">
        <v>243</v>
      </c>
      <c r="E12" s="1143" t="s">
        <v>361</v>
      </c>
      <c r="F12" s="1141" t="s">
        <v>86</v>
      </c>
      <c r="G12" s="1121" t="s">
        <v>240</v>
      </c>
      <c r="H12" s="1121" t="s">
        <v>239</v>
      </c>
      <c r="I12" s="492"/>
      <c r="J12" s="1139" t="s">
        <v>244</v>
      </c>
      <c r="K12" s="1126" t="s">
        <v>252</v>
      </c>
      <c r="L12" s="1126" t="s">
        <v>711</v>
      </c>
      <c r="M12" s="1126" t="s">
        <v>712</v>
      </c>
    </row>
    <row r="13" spans="1:17" s="493" customFormat="1" ht="17.100000000000001" customHeight="1" thickBot="1">
      <c r="A13" s="1111"/>
      <c r="B13" s="1125"/>
      <c r="C13" s="1124"/>
      <c r="D13" s="1124"/>
      <c r="E13" s="1144"/>
      <c r="F13" s="1142"/>
      <c r="G13" s="1122"/>
      <c r="H13" s="1122"/>
      <c r="I13" s="494"/>
      <c r="J13" s="1140"/>
      <c r="K13" s="1128"/>
      <c r="L13" s="1127"/>
      <c r="M13" s="1128"/>
    </row>
    <row r="14" spans="1:17" s="495" customFormat="1" ht="39" customHeight="1" thickBot="1">
      <c r="A14" s="1111"/>
      <c r="B14" s="640">
        <f>'DataBase (IMO form)'!B8</f>
        <v>1</v>
      </c>
      <c r="C14" s="641" t="str">
        <f>'DataBase (IMO form)'!D8</f>
        <v xml:space="preserve">WENDT </v>
      </c>
      <c r="D14" s="641" t="str">
        <f>'DataBase (IMO form)'!E8</f>
        <v>ROBERT KRZYSZTOF</v>
      </c>
      <c r="E14" s="642" t="str">
        <f>'DataBase (IMO form)'!C8</f>
        <v>MASTER</v>
      </c>
      <c r="F14" s="642" t="str">
        <f>'DataBase (IMO form)'!L8</f>
        <v>POLISH</v>
      </c>
      <c r="G14" s="876">
        <f>'DataBase (IMO form)'!I8</f>
        <v>31616</v>
      </c>
      <c r="H14" s="644" t="str">
        <f>'DataBase (IMO form)'!K8</f>
        <v>GDANSK</v>
      </c>
      <c r="I14" s="644" t="e">
        <v>#REF!</v>
      </c>
      <c r="J14" s="644" t="str">
        <f>'DataBase (IMO form)'!H8</f>
        <v>M</v>
      </c>
      <c r="K14" s="644" t="s">
        <v>709</v>
      </c>
      <c r="L14" s="877" t="str">
        <f>'DataBase (IMO form)'!M8</f>
        <v>POLAND</v>
      </c>
      <c r="M14" s="875" t="s">
        <v>710</v>
      </c>
      <c r="Q14" s="495" t="s">
        <v>143</v>
      </c>
    </row>
    <row r="15" spans="1:17" s="495" customFormat="1" ht="39" customHeight="1" thickBot="1">
      <c r="A15" s="1111"/>
      <c r="B15" s="640">
        <f>'DataBase (IMO form)'!B9</f>
        <v>2</v>
      </c>
      <c r="C15" s="641" t="str">
        <f>'DataBase (IMO form)'!D9</f>
        <v>THANASIS</v>
      </c>
      <c r="D15" s="641" t="str">
        <f>'DataBase (IMO form)'!E9</f>
        <v>EVANGELOS</v>
      </c>
      <c r="E15" s="642" t="str">
        <f>'DataBase (IMO form)'!C9</f>
        <v>CHIEF OFF</v>
      </c>
      <c r="F15" s="642" t="str">
        <f>'DataBase (IMO form)'!L9</f>
        <v>HELLENIC</v>
      </c>
      <c r="G15" s="876">
        <f>'DataBase (IMO form)'!I9</f>
        <v>34373</v>
      </c>
      <c r="H15" s="644" t="str">
        <f>'DataBase (IMO form)'!K9</f>
        <v>KERKYRA</v>
      </c>
      <c r="I15" s="644" t="e">
        <v>#REF!</v>
      </c>
      <c r="J15" s="644" t="str">
        <f>'DataBase (IMO form)'!H9</f>
        <v>M</v>
      </c>
      <c r="K15" s="644" t="s">
        <v>709</v>
      </c>
      <c r="L15" s="877" t="str">
        <f>'DataBase (IMO form)'!M9</f>
        <v>GREECE</v>
      </c>
      <c r="M15" s="875" t="s">
        <v>710</v>
      </c>
    </row>
    <row r="16" spans="1:17" s="495" customFormat="1" ht="39" customHeight="1" thickBot="1">
      <c r="A16" s="1111"/>
      <c r="B16" s="640">
        <f>'DataBase (IMO form)'!B10</f>
        <v>3</v>
      </c>
      <c r="C16" s="641" t="str">
        <f>'DataBase (IMO form)'!D10</f>
        <v>TEJU</v>
      </c>
      <c r="D16" s="641" t="str">
        <f>'DataBase (IMO form)'!E10</f>
        <v>TOMA</v>
      </c>
      <c r="E16" s="642" t="str">
        <f>'DataBase (IMO form)'!C10</f>
        <v>TR CHIEF OFF</v>
      </c>
      <c r="F16" s="642" t="str">
        <f>'DataBase (IMO form)'!L10</f>
        <v>ROMANIAN</v>
      </c>
      <c r="G16" s="876">
        <f>'DataBase (IMO form)'!I10</f>
        <v>32970</v>
      </c>
      <c r="H16" s="644" t="str">
        <f>'DataBase (IMO form)'!K10</f>
        <v>COSTANTA</v>
      </c>
      <c r="I16" s="644" t="e">
        <v>#REF!</v>
      </c>
      <c r="J16" s="644" t="str">
        <f>'DataBase (IMO form)'!H10</f>
        <v>M</v>
      </c>
      <c r="K16" s="644" t="s">
        <v>709</v>
      </c>
      <c r="L16" s="877" t="str">
        <f>'DataBase (IMO form)'!M10</f>
        <v>ROMANIA</v>
      </c>
      <c r="M16" s="875" t="s">
        <v>710</v>
      </c>
    </row>
    <row r="17" spans="1:21" s="495" customFormat="1" ht="39" customHeight="1" thickBot="1">
      <c r="A17" s="1111"/>
      <c r="B17" s="640">
        <f>'DataBase (IMO form)'!B11</f>
        <v>4</v>
      </c>
      <c r="C17" s="641" t="str">
        <f>'DataBase (IMO form)'!D11</f>
        <v>BUTS</v>
      </c>
      <c r="D17" s="641" t="str">
        <f>'DataBase (IMO form)'!E11</f>
        <v>KOSTIANTYN</v>
      </c>
      <c r="E17" s="642" t="str">
        <f>'DataBase (IMO form)'!C11</f>
        <v>2ND OFF</v>
      </c>
      <c r="F17" s="642" t="str">
        <f>'DataBase (IMO form)'!L11</f>
        <v>UKRAINIAN</v>
      </c>
      <c r="G17" s="876">
        <f>'DataBase (IMO form)'!I11</f>
        <v>31971</v>
      </c>
      <c r="H17" s="644" t="str">
        <f>'DataBase (IMO form)'!K11</f>
        <v>UKRAINE</v>
      </c>
      <c r="I17" s="644" t="e">
        <v>#REF!</v>
      </c>
      <c r="J17" s="644" t="str">
        <f>'DataBase (IMO form)'!H11</f>
        <v>M</v>
      </c>
      <c r="K17" s="644" t="s">
        <v>709</v>
      </c>
      <c r="L17" s="877" t="str">
        <f>'DataBase (IMO form)'!M11</f>
        <v>UKRAINE</v>
      </c>
      <c r="M17" s="875" t="s">
        <v>710</v>
      </c>
    </row>
    <row r="18" spans="1:21" s="495" customFormat="1" ht="39" customHeight="1" thickBot="1">
      <c r="A18" s="1111"/>
      <c r="B18" s="640">
        <f>'DataBase (IMO form)'!B12</f>
        <v>5</v>
      </c>
      <c r="C18" s="641" t="str">
        <f>'DataBase (IMO form)'!D12</f>
        <v xml:space="preserve">STAMATIOU </v>
      </c>
      <c r="D18" s="641" t="str">
        <f>'DataBase (IMO form)'!E12</f>
        <v>VASILEIOS</v>
      </c>
      <c r="E18" s="642" t="str">
        <f>'DataBase (IMO form)'!C12</f>
        <v>3RD OFF</v>
      </c>
      <c r="F18" s="642" t="str">
        <f>'DataBase (IMO form)'!L12</f>
        <v>HELLENIC</v>
      </c>
      <c r="G18" s="876">
        <f>'DataBase (IMO form)'!I12</f>
        <v>37225</v>
      </c>
      <c r="H18" s="644" t="str">
        <f>'DataBase (IMO form)'!K12</f>
        <v>MAROUSI</v>
      </c>
      <c r="I18" s="644" t="e">
        <v>#REF!</v>
      </c>
      <c r="J18" s="644" t="str">
        <f>'DataBase (IMO form)'!H12</f>
        <v>M</v>
      </c>
      <c r="K18" s="644" t="s">
        <v>709</v>
      </c>
      <c r="L18" s="877" t="str">
        <f>'DataBase (IMO form)'!M12</f>
        <v>GREECE</v>
      </c>
      <c r="M18" s="875" t="s">
        <v>710</v>
      </c>
    </row>
    <row r="19" spans="1:21" s="495" customFormat="1" ht="39" customHeight="1" thickBot="1">
      <c r="A19" s="1111"/>
      <c r="B19" s="640">
        <f>'DataBase (IMO form)'!B13</f>
        <v>6</v>
      </c>
      <c r="C19" s="641" t="str">
        <f>'DataBase (IMO form)'!D13</f>
        <v>KOUIMOV</v>
      </c>
      <c r="D19" s="641" t="str">
        <f>'DataBase (IMO form)'!E13</f>
        <v>ENTOUARNT OR EDUARD</v>
      </c>
      <c r="E19" s="642" t="str">
        <f>'DataBase (IMO form)'!C13</f>
        <v xml:space="preserve">3RD OFF </v>
      </c>
      <c r="F19" s="642" t="str">
        <f>'DataBase (IMO form)'!L13</f>
        <v>HELLENIC</v>
      </c>
      <c r="G19" s="876">
        <f>'DataBase (IMO form)'!I13</f>
        <v>36547</v>
      </c>
      <c r="H19" s="644" t="str">
        <f>'DataBase (IMO form)'!K13</f>
        <v>NAKHODKA</v>
      </c>
      <c r="I19" s="644" t="e">
        <v>#REF!</v>
      </c>
      <c r="J19" s="644" t="str">
        <f>'DataBase (IMO form)'!H13</f>
        <v>M</v>
      </c>
      <c r="K19" s="644" t="s">
        <v>709</v>
      </c>
      <c r="L19" s="877" t="str">
        <f>'DataBase (IMO form)'!M13</f>
        <v>RUSSIA</v>
      </c>
      <c r="M19" s="875" t="s">
        <v>710</v>
      </c>
    </row>
    <row r="20" spans="1:21" s="495" customFormat="1" ht="39" customHeight="1" thickBot="1">
      <c r="A20" s="1111"/>
      <c r="B20" s="640">
        <f>'DataBase (IMO form)'!B14</f>
        <v>7</v>
      </c>
      <c r="C20" s="641" t="str">
        <f>'DataBase (IMO form)'!D14</f>
        <v>CHATZIDIMITRIOU</v>
      </c>
      <c r="D20" s="641" t="str">
        <f>'DataBase (IMO form)'!E14</f>
        <v>MARIA</v>
      </c>
      <c r="E20" s="642" t="str">
        <f>'DataBase (IMO form)'!C14</f>
        <v>DECK CADET</v>
      </c>
      <c r="F20" s="642" t="str">
        <f>'DataBase (IMO form)'!L14</f>
        <v>HELLENIC</v>
      </c>
      <c r="G20" s="876">
        <f>'DataBase (IMO form)'!I14</f>
        <v>37644</v>
      </c>
      <c r="H20" s="644" t="str">
        <f>'DataBase (IMO form)'!K14</f>
        <v>THESSALONIKI</v>
      </c>
      <c r="I20" s="644" t="e">
        <v>#REF!</v>
      </c>
      <c r="J20" s="644" t="str">
        <f>'DataBase (IMO form)'!H14</f>
        <v>F</v>
      </c>
      <c r="K20" s="644" t="s">
        <v>709</v>
      </c>
      <c r="L20" s="877" t="str">
        <f>'DataBase (IMO form)'!M14</f>
        <v>GREECE</v>
      </c>
      <c r="M20" s="875" t="s">
        <v>710</v>
      </c>
    </row>
    <row r="21" spans="1:21" s="495" customFormat="1" ht="39" customHeight="1" thickBot="1">
      <c r="A21" s="1111"/>
      <c r="B21" s="640">
        <f>'DataBase (IMO form)'!B15</f>
        <v>8</v>
      </c>
      <c r="C21" s="641" t="str">
        <f>'DataBase (IMO form)'!D15</f>
        <v xml:space="preserve">PETROPOULOS </v>
      </c>
      <c r="D21" s="641" t="str">
        <f>'DataBase (IMO form)'!E15</f>
        <v>CHRISTOS</v>
      </c>
      <c r="E21" s="642" t="str">
        <f>'DataBase (IMO form)'!C15</f>
        <v>CHIEF ENG</v>
      </c>
      <c r="F21" s="642" t="str">
        <f>'DataBase (IMO form)'!L15</f>
        <v>HELLENIC</v>
      </c>
      <c r="G21" s="876">
        <f>'DataBase (IMO form)'!I15</f>
        <v>24483</v>
      </c>
      <c r="H21" s="644" t="str">
        <f>'DataBase (IMO form)'!K15</f>
        <v>KOZANI</v>
      </c>
      <c r="I21" s="644" t="e">
        <v>#REF!</v>
      </c>
      <c r="J21" s="644" t="str">
        <f>'DataBase (IMO form)'!H15</f>
        <v>M</v>
      </c>
      <c r="K21" s="644" t="s">
        <v>709</v>
      </c>
      <c r="L21" s="877" t="str">
        <f>'DataBase (IMO form)'!M15</f>
        <v>GREECE</v>
      </c>
      <c r="M21" s="875" t="s">
        <v>710</v>
      </c>
      <c r="U21" s="496"/>
    </row>
    <row r="22" spans="1:21" s="495" customFormat="1" ht="39" customHeight="1" thickBot="1">
      <c r="A22" s="1111"/>
      <c r="B22" s="640">
        <f>'DataBase (IMO form)'!B16</f>
        <v>9</v>
      </c>
      <c r="C22" s="641" t="str">
        <f>'DataBase (IMO form)'!D16</f>
        <v>SYTNYK</v>
      </c>
      <c r="D22" s="641" t="str">
        <f>'DataBase (IMO form)'!E16</f>
        <v xml:space="preserve">YEVGENIY </v>
      </c>
      <c r="E22" s="642" t="str">
        <f>'DataBase (IMO form)'!C16</f>
        <v>2ND ENG</v>
      </c>
      <c r="F22" s="642" t="str">
        <f>'DataBase (IMO form)'!L16</f>
        <v xml:space="preserve">UKRAINIAN </v>
      </c>
      <c r="G22" s="876">
        <f>'DataBase (IMO form)'!I16</f>
        <v>32852</v>
      </c>
      <c r="H22" s="644" t="str">
        <f>'DataBase (IMO form)'!K16</f>
        <v>ODESSA</v>
      </c>
      <c r="I22" s="644" t="e">
        <v>#REF!</v>
      </c>
      <c r="J22" s="644" t="str">
        <f>'DataBase (IMO form)'!H16</f>
        <v>M</v>
      </c>
      <c r="K22" s="644" t="s">
        <v>709</v>
      </c>
      <c r="L22" s="877" t="str">
        <f>'DataBase (IMO form)'!M16</f>
        <v>UKRAINE</v>
      </c>
      <c r="M22" s="875" t="s">
        <v>710</v>
      </c>
    </row>
    <row r="23" spans="1:21" s="495" customFormat="1" ht="39" customHeight="1" thickBot="1">
      <c r="A23" s="1111"/>
      <c r="B23" s="640">
        <f>'DataBase (IMO form)'!B17</f>
        <v>10</v>
      </c>
      <c r="C23" s="641" t="str">
        <f>'DataBase (IMO form)'!D17</f>
        <v>KACHUR</v>
      </c>
      <c r="D23" s="641" t="str">
        <f>'DataBase (IMO form)'!E17</f>
        <v>MYKOLA</v>
      </c>
      <c r="E23" s="642" t="str">
        <f>'DataBase (IMO form)'!C17</f>
        <v>3RD ENG</v>
      </c>
      <c r="F23" s="642" t="str">
        <f>'DataBase (IMO form)'!L17</f>
        <v>UKRAINIAN</v>
      </c>
      <c r="G23" s="876">
        <f>'DataBase (IMO form)'!I17</f>
        <v>35418</v>
      </c>
      <c r="H23" s="644" t="str">
        <f>'DataBase (IMO form)'!K17</f>
        <v>UKRAINE</v>
      </c>
      <c r="I23" s="644" t="e">
        <v>#REF!</v>
      </c>
      <c r="J23" s="644" t="str">
        <f>'DataBase (IMO form)'!H17</f>
        <v>M</v>
      </c>
      <c r="K23" s="644" t="s">
        <v>709</v>
      </c>
      <c r="L23" s="877" t="str">
        <f>'DataBase (IMO form)'!M17</f>
        <v>UKRAINE</v>
      </c>
      <c r="M23" s="875" t="s">
        <v>710</v>
      </c>
    </row>
    <row r="24" spans="1:21" s="495" customFormat="1" ht="39" customHeight="1" thickBot="1">
      <c r="A24" s="1111"/>
      <c r="B24" s="640">
        <f>'DataBase (IMO form)'!B18</f>
        <v>11</v>
      </c>
      <c r="C24" s="641" t="str">
        <f>'DataBase (IMO form)'!D18</f>
        <v>COLEASA</v>
      </c>
      <c r="D24" s="641" t="str">
        <f>'DataBase (IMO form)'!E18</f>
        <v>STEFAN  CIPRIAN</v>
      </c>
      <c r="E24" s="642" t="str">
        <f>'DataBase (IMO form)'!C18</f>
        <v>3RD ENG</v>
      </c>
      <c r="F24" s="642" t="str">
        <f>'DataBase (IMO form)'!L18</f>
        <v>ROMANIAN</v>
      </c>
      <c r="G24" s="876">
        <f>'DataBase (IMO form)'!I18</f>
        <v>33966</v>
      </c>
      <c r="H24" s="644" t="str">
        <f>'DataBase (IMO form)'!K18</f>
        <v>CONSTANTA</v>
      </c>
      <c r="I24" s="644" t="e">
        <v>#REF!</v>
      </c>
      <c r="J24" s="644" t="str">
        <f>'DataBase (IMO form)'!H18</f>
        <v>M</v>
      </c>
      <c r="K24" s="644" t="s">
        <v>709</v>
      </c>
      <c r="L24" s="877" t="str">
        <f>'DataBase (IMO form)'!M18</f>
        <v>ROMANIA</v>
      </c>
      <c r="M24" s="875" t="s">
        <v>710</v>
      </c>
    </row>
    <row r="25" spans="1:21" s="495" customFormat="1" ht="39" customHeight="1" thickBot="1">
      <c r="A25" s="1111"/>
      <c r="B25" s="640">
        <f>'DataBase (IMO form)'!B19</f>
        <v>12</v>
      </c>
      <c r="C25" s="641" t="str">
        <f>'DataBase (IMO form)'!D19</f>
        <v xml:space="preserve">LOFTSALIS </v>
      </c>
      <c r="D25" s="641" t="str">
        <f>'DataBase (IMO form)'!E19</f>
        <v>APOSTOLOS</v>
      </c>
      <c r="E25" s="642" t="str">
        <f>'DataBase (IMO form)'!C19</f>
        <v>4TH ENG</v>
      </c>
      <c r="F25" s="642" t="str">
        <f>'DataBase (IMO form)'!L19</f>
        <v>HELLENIC</v>
      </c>
      <c r="G25" s="876">
        <f>'DataBase (IMO form)'!I19</f>
        <v>37555</v>
      </c>
      <c r="H25" s="644" t="str">
        <f>'DataBase (IMO form)'!K19</f>
        <v>KOZANI</v>
      </c>
      <c r="I25" s="644" t="e">
        <v>#REF!</v>
      </c>
      <c r="J25" s="644" t="str">
        <f>'DataBase (IMO form)'!H19</f>
        <v>M</v>
      </c>
      <c r="K25" s="644" t="s">
        <v>709</v>
      </c>
      <c r="L25" s="877" t="str">
        <f>'DataBase (IMO form)'!M19</f>
        <v>GREECE</v>
      </c>
      <c r="M25" s="875" t="s">
        <v>710</v>
      </c>
    </row>
    <row r="26" spans="1:21" s="495" customFormat="1" ht="39" customHeight="1" thickBot="1">
      <c r="A26" s="1111"/>
      <c r="B26" s="640">
        <f>'DataBase (IMO form)'!B20</f>
        <v>13</v>
      </c>
      <c r="C26" s="641" t="str">
        <f>'DataBase (IMO form)'!D20</f>
        <v>YEMELIANOV</v>
      </c>
      <c r="D26" s="641" t="str">
        <f>'DataBase (IMO form)'!E20</f>
        <v>RICHARD</v>
      </c>
      <c r="E26" s="642" t="str">
        <f>'DataBase (IMO form)'!C20</f>
        <v xml:space="preserve">GAS ENG </v>
      </c>
      <c r="F26" s="642" t="str">
        <f>'DataBase (IMO form)'!L20</f>
        <v>UKRAINIAN</v>
      </c>
      <c r="G26" s="876">
        <f>'DataBase (IMO form)'!I20</f>
        <v>32955</v>
      </c>
      <c r="H26" s="644" t="str">
        <f>'DataBase (IMO form)'!K20</f>
        <v>UKRAINE</v>
      </c>
      <c r="I26" s="644" t="e">
        <v>#REF!</v>
      </c>
      <c r="J26" s="644" t="str">
        <f>'DataBase (IMO form)'!H20</f>
        <v>M</v>
      </c>
      <c r="K26" s="644" t="s">
        <v>709</v>
      </c>
      <c r="L26" s="877" t="str">
        <f>'DataBase (IMO form)'!M20</f>
        <v>UKRAINE</v>
      </c>
      <c r="M26" s="875" t="s">
        <v>710</v>
      </c>
      <c r="P26" s="495" t="s">
        <v>143</v>
      </c>
    </row>
    <row r="27" spans="1:21" s="497" customFormat="1" ht="39" customHeight="1" thickBot="1">
      <c r="A27" s="1111"/>
      <c r="B27" s="640">
        <f>'DataBase (IMO form)'!B21</f>
        <v>14</v>
      </c>
      <c r="C27" s="641" t="str">
        <f>'DataBase (IMO form)'!D21</f>
        <v>GIDEI</v>
      </c>
      <c r="D27" s="641" t="str">
        <f>'DataBase (IMO form)'!E21</f>
        <v>NICOLAE</v>
      </c>
      <c r="E27" s="642" t="str">
        <f>'DataBase (IMO form)'!C21</f>
        <v>SETO</v>
      </c>
      <c r="F27" s="642" t="str">
        <f>'DataBase (IMO form)'!L21</f>
        <v>ROMANIAN</v>
      </c>
      <c r="G27" s="876">
        <f>'DataBase (IMO form)'!I21</f>
        <v>27720</v>
      </c>
      <c r="H27" s="644" t="str">
        <f>'DataBase (IMO form)'!K21</f>
        <v>GALATI</v>
      </c>
      <c r="I27" s="644" t="e">
        <v>#REF!</v>
      </c>
      <c r="J27" s="644" t="str">
        <f>'DataBase (IMO form)'!H21</f>
        <v>M</v>
      </c>
      <c r="K27" s="644" t="s">
        <v>709</v>
      </c>
      <c r="L27" s="877" t="str">
        <f>'DataBase (IMO form)'!M21</f>
        <v>ROMANIA</v>
      </c>
      <c r="M27" s="875" t="s">
        <v>710</v>
      </c>
    </row>
    <row r="28" spans="1:21" s="497" customFormat="1" ht="39" customHeight="1" thickBot="1">
      <c r="A28" s="1111"/>
      <c r="B28" s="640">
        <f>'DataBase (IMO form)'!B22</f>
        <v>15</v>
      </c>
      <c r="C28" s="641" t="str">
        <f>'DataBase (IMO form)'!D22</f>
        <v>LADINES</v>
      </c>
      <c r="D28" s="641" t="str">
        <f>'DataBase (IMO form)'!E22</f>
        <v>RODOLFO JR.</v>
      </c>
      <c r="E28" s="642" t="str">
        <f>'DataBase (IMO form)'!C22</f>
        <v>BOSUN</v>
      </c>
      <c r="F28" s="642" t="str">
        <f>'DataBase (IMO form)'!L22</f>
        <v>FILIPINO</v>
      </c>
      <c r="G28" s="876">
        <f>'DataBase (IMO form)'!I22</f>
        <v>29241</v>
      </c>
      <c r="H28" s="644" t="str">
        <f>'DataBase (IMO form)'!K22</f>
        <v>SAMPALOC QUEZON</v>
      </c>
      <c r="I28" s="644" t="e">
        <v>#REF!</v>
      </c>
      <c r="J28" s="644" t="str">
        <f>'DataBase (IMO form)'!H22</f>
        <v>M</v>
      </c>
      <c r="K28" s="644" t="s">
        <v>709</v>
      </c>
      <c r="L28" s="877" t="str">
        <f>'DataBase (IMO form)'!M22</f>
        <v>PHILIPPINES</v>
      </c>
      <c r="M28" s="875" t="s">
        <v>710</v>
      </c>
    </row>
    <row r="29" spans="1:21" s="497" customFormat="1" ht="39" customHeight="1" thickBot="1">
      <c r="A29" s="1111"/>
      <c r="B29" s="640">
        <f>'DataBase (IMO form)'!B23</f>
        <v>16</v>
      </c>
      <c r="C29" s="641" t="str">
        <f>'DataBase (IMO form)'!D23</f>
        <v xml:space="preserve">LUPAZ </v>
      </c>
      <c r="D29" s="641" t="str">
        <f>'DataBase (IMO form)'!E23</f>
        <v>ALBERTO JR.</v>
      </c>
      <c r="E29" s="642" t="str">
        <f>'DataBase (IMO form)'!C23</f>
        <v>AB</v>
      </c>
      <c r="F29" s="642" t="str">
        <f>'DataBase (IMO form)'!L23</f>
        <v>FILIPINO</v>
      </c>
      <c r="G29" s="876">
        <f>'DataBase (IMO form)'!I23</f>
        <v>34168</v>
      </c>
      <c r="H29" s="644" t="str">
        <f>'DataBase (IMO form)'!K23</f>
        <v>NASIPIT AND</v>
      </c>
      <c r="I29" s="644" t="e">
        <v>#REF!</v>
      </c>
      <c r="J29" s="644" t="str">
        <f>'DataBase (IMO form)'!H23</f>
        <v>M</v>
      </c>
      <c r="K29" s="644" t="s">
        <v>709</v>
      </c>
      <c r="L29" s="877" t="str">
        <f>'DataBase (IMO form)'!M23</f>
        <v>PHILIPPINES</v>
      </c>
      <c r="M29" s="875" t="s">
        <v>710</v>
      </c>
    </row>
    <row r="30" spans="1:21" s="497" customFormat="1" ht="39" customHeight="1" thickBot="1">
      <c r="A30" s="1095"/>
      <c r="B30" s="640">
        <f>'DataBase (IMO form)'!B24</f>
        <v>17</v>
      </c>
      <c r="C30" s="641" t="str">
        <f>'DataBase (IMO form)'!D24</f>
        <v xml:space="preserve">PALERACIO </v>
      </c>
      <c r="D30" s="641" t="str">
        <f>'DataBase (IMO form)'!E24</f>
        <v>JOHN CALLED</v>
      </c>
      <c r="E30" s="642" t="str">
        <f>'DataBase (IMO form)'!C24</f>
        <v>AB</v>
      </c>
      <c r="F30" s="642" t="str">
        <f>'DataBase (IMO form)'!L24</f>
        <v>FILIPINO</v>
      </c>
      <c r="G30" s="876">
        <f>'DataBase (IMO form)'!I24</f>
        <v>33759</v>
      </c>
      <c r="H30" s="644" t="str">
        <f>'DataBase (IMO form)'!K24</f>
        <v>SAMPALOC QUEZON</v>
      </c>
      <c r="I30" s="644" t="e">
        <v>#REF!</v>
      </c>
      <c r="J30" s="644" t="str">
        <f>'DataBase (IMO form)'!H24</f>
        <v>M</v>
      </c>
      <c r="K30" s="644" t="s">
        <v>709</v>
      </c>
      <c r="L30" s="877" t="str">
        <f>'DataBase (IMO form)'!M24</f>
        <v>PHILIPPINES</v>
      </c>
      <c r="M30" s="875" t="s">
        <v>710</v>
      </c>
    </row>
    <row r="31" spans="1:21" s="497" customFormat="1" ht="39" customHeight="1" thickBot="1">
      <c r="A31" s="1095"/>
      <c r="B31" s="640">
        <f>'DataBase (IMO form)'!B25</f>
        <v>18</v>
      </c>
      <c r="C31" s="641" t="str">
        <f>'DataBase (IMO form)'!D25</f>
        <v xml:space="preserve">RUFON </v>
      </c>
      <c r="D31" s="641" t="str">
        <f>'DataBase (IMO form)'!E25</f>
        <v>NOEL III</v>
      </c>
      <c r="E31" s="642" t="str">
        <f>'DataBase (IMO form)'!C25</f>
        <v>AB</v>
      </c>
      <c r="F31" s="642" t="str">
        <f>'DataBase (IMO form)'!L25</f>
        <v>FILIPINO</v>
      </c>
      <c r="G31" s="876">
        <f>'DataBase (IMO form)'!I25</f>
        <v>35899</v>
      </c>
      <c r="H31" s="644" t="str">
        <f>'DataBase (IMO form)'!K25</f>
        <v>QUEZON CITY</v>
      </c>
      <c r="I31" s="644" t="e">
        <v>#REF!</v>
      </c>
      <c r="J31" s="644" t="str">
        <f>'DataBase (IMO form)'!H25</f>
        <v>M</v>
      </c>
      <c r="K31" s="644" t="s">
        <v>709</v>
      </c>
      <c r="L31" s="877" t="str">
        <f>'DataBase (IMO form)'!M25</f>
        <v>PHILIPPINES</v>
      </c>
      <c r="M31" s="875" t="s">
        <v>710</v>
      </c>
    </row>
    <row r="32" spans="1:21" s="497" customFormat="1" ht="39" customHeight="1" thickBot="1">
      <c r="A32" s="1095"/>
      <c r="B32" s="640">
        <f>'DataBase (IMO form)'!B26</f>
        <v>19</v>
      </c>
      <c r="C32" s="641" t="str">
        <f>'DataBase (IMO form)'!D26</f>
        <v>CASTILLO</v>
      </c>
      <c r="D32" s="641" t="str">
        <f>'DataBase (IMO form)'!E26</f>
        <v>TIMBERT</v>
      </c>
      <c r="E32" s="642" t="str">
        <f>'DataBase (IMO form)'!C26</f>
        <v>AB</v>
      </c>
      <c r="F32" s="642" t="str">
        <f>'DataBase (IMO form)'!L26</f>
        <v>FILIPINO</v>
      </c>
      <c r="G32" s="876">
        <f>'DataBase (IMO form)'!I26</f>
        <v>34015</v>
      </c>
      <c r="H32" s="644" t="str">
        <f>'DataBase (IMO form)'!K26</f>
        <v>BUENAVISTA MDQ</v>
      </c>
      <c r="I32" s="644" t="e">
        <v>#REF!</v>
      </c>
      <c r="J32" s="644" t="str">
        <f>'DataBase (IMO form)'!H26</f>
        <v>M</v>
      </c>
      <c r="K32" s="644" t="s">
        <v>709</v>
      </c>
      <c r="L32" s="877" t="str">
        <f>'DataBase (IMO form)'!M26</f>
        <v>PHILIPPINES</v>
      </c>
      <c r="M32" s="875" t="s">
        <v>710</v>
      </c>
    </row>
    <row r="33" spans="1:13" s="497" customFormat="1" ht="39" customHeight="1" thickBot="1">
      <c r="A33" s="1095"/>
      <c r="B33" s="640">
        <f>'DataBase (IMO form)'!B27</f>
        <v>20</v>
      </c>
      <c r="C33" s="641" t="str">
        <f>'DataBase (IMO form)'!D27</f>
        <v>ACULIT</v>
      </c>
      <c r="D33" s="641" t="str">
        <f>'DataBase (IMO form)'!E27</f>
        <v>MIKE LISLIE</v>
      </c>
      <c r="E33" s="642" t="str">
        <f>'DataBase (IMO form)'!C27</f>
        <v>OS</v>
      </c>
      <c r="F33" s="642" t="str">
        <f>'DataBase (IMO form)'!L27</f>
        <v>FILIPINO</v>
      </c>
      <c r="G33" s="876">
        <f>'DataBase (IMO form)'!I27</f>
        <v>35054</v>
      </c>
      <c r="H33" s="644" t="str">
        <f>'DataBase (IMO form)'!K27</f>
        <v>BAGO CITY</v>
      </c>
      <c r="I33" s="644" t="e">
        <v>#REF!</v>
      </c>
      <c r="J33" s="644" t="str">
        <f>'DataBase (IMO form)'!H27</f>
        <v>M</v>
      </c>
      <c r="K33" s="644" t="s">
        <v>709</v>
      </c>
      <c r="L33" s="877" t="str">
        <f>'DataBase (IMO form)'!M27</f>
        <v>PHILIPPINES</v>
      </c>
      <c r="M33" s="875" t="s">
        <v>710</v>
      </c>
    </row>
    <row r="34" spans="1:13" s="497" customFormat="1" ht="39" customHeight="1" thickBot="1">
      <c r="A34" s="1095"/>
      <c r="B34" s="640">
        <f>'DataBase (IMO form)'!B28</f>
        <v>21</v>
      </c>
      <c r="C34" s="641" t="str">
        <f>'DataBase (IMO form)'!D28</f>
        <v>DOMONDON</v>
      </c>
      <c r="D34" s="641" t="str">
        <f>'DataBase (IMO form)'!E28</f>
        <v>DEXTER</v>
      </c>
      <c r="E34" s="642" t="str">
        <f>'DataBase (IMO form)'!C28</f>
        <v>OS</v>
      </c>
      <c r="F34" s="642" t="str">
        <f>'DataBase (IMO form)'!L28</f>
        <v>FILIPINO</v>
      </c>
      <c r="G34" s="876">
        <f>'DataBase (IMO form)'!I28</f>
        <v>36084</v>
      </c>
      <c r="H34" s="644" t="str">
        <f>'DataBase (IMO form)'!K28</f>
        <v>MARIKINA CITY</v>
      </c>
      <c r="I34" s="644" t="e">
        <v>#REF!</v>
      </c>
      <c r="J34" s="644" t="str">
        <f>'DataBase (IMO form)'!H28</f>
        <v>M</v>
      </c>
      <c r="K34" s="644" t="s">
        <v>709</v>
      </c>
      <c r="L34" s="877" t="str">
        <f>'DataBase (IMO form)'!M28</f>
        <v>PHILIPPINES</v>
      </c>
      <c r="M34" s="875" t="s">
        <v>710</v>
      </c>
    </row>
    <row r="35" spans="1:13" s="497" customFormat="1" ht="39" customHeight="1" thickBot="1">
      <c r="A35" s="1095"/>
      <c r="B35" s="640">
        <f>'DataBase (IMO form)'!B29</f>
        <v>22</v>
      </c>
      <c r="C35" s="641" t="str">
        <f>'DataBase (IMO form)'!D29</f>
        <v>DACANAY</v>
      </c>
      <c r="D35" s="641" t="str">
        <f>'DataBase (IMO form)'!E29</f>
        <v>JAYSON</v>
      </c>
      <c r="E35" s="642" t="str">
        <f>'DataBase (IMO form)'!C29</f>
        <v>FITTER</v>
      </c>
      <c r="F35" s="642" t="str">
        <f>'DataBase (IMO form)'!L29</f>
        <v>FILIPINO</v>
      </c>
      <c r="G35" s="876">
        <f>'DataBase (IMO form)'!I29</f>
        <v>33621</v>
      </c>
      <c r="H35" s="644" t="str">
        <f>'DataBase (IMO form)'!K29</f>
        <v>SISON PANGASINAN</v>
      </c>
      <c r="I35" s="644" t="e">
        <v>#REF!</v>
      </c>
      <c r="J35" s="644" t="str">
        <f>'DataBase (IMO form)'!H29</f>
        <v>M</v>
      </c>
      <c r="K35" s="644" t="s">
        <v>709</v>
      </c>
      <c r="L35" s="877" t="str">
        <f>'DataBase (IMO form)'!M29</f>
        <v>PHILIPPINES</v>
      </c>
      <c r="M35" s="875" t="s">
        <v>710</v>
      </c>
    </row>
    <row r="36" spans="1:13" s="497" customFormat="1" ht="38.25" customHeight="1" thickBot="1">
      <c r="A36" s="1095"/>
      <c r="B36" s="640">
        <f>'DataBase (IMO form)'!B30</f>
        <v>23</v>
      </c>
      <c r="C36" s="641" t="str">
        <f>'DataBase (IMO form)'!D30</f>
        <v>APID</v>
      </c>
      <c r="D36" s="641" t="str">
        <f>'DataBase (IMO form)'!E30</f>
        <v>LORD BYRON</v>
      </c>
      <c r="E36" s="642" t="str">
        <f>'DataBase (IMO form)'!C30</f>
        <v>MTM</v>
      </c>
      <c r="F36" s="642" t="str">
        <f>'DataBase (IMO form)'!L30</f>
        <v>FILIPINO</v>
      </c>
      <c r="G36" s="876">
        <f>'DataBase (IMO form)'!I30</f>
        <v>32630</v>
      </c>
      <c r="H36" s="644" t="str">
        <f>'DataBase (IMO form)'!K30</f>
        <v>DIONISIO ILOILO</v>
      </c>
      <c r="I36" s="644" t="e">
        <v>#REF!</v>
      </c>
      <c r="J36" s="644" t="str">
        <f>'DataBase (IMO form)'!H30</f>
        <v>M</v>
      </c>
      <c r="K36" s="644" t="s">
        <v>709</v>
      </c>
      <c r="L36" s="877" t="str">
        <f>'DataBase (IMO form)'!M30</f>
        <v>PHILIPPINES</v>
      </c>
      <c r="M36" s="875" t="s">
        <v>710</v>
      </c>
    </row>
    <row r="37" spans="1:13" s="497" customFormat="1" ht="38.25" customHeight="1" thickBot="1">
      <c r="A37" s="890"/>
      <c r="B37" s="640">
        <f>'DataBase (IMO form)'!B31</f>
        <v>24</v>
      </c>
      <c r="C37" s="641" t="str">
        <f>'DataBase (IMO form)'!D31</f>
        <v>BRILLANTES</v>
      </c>
      <c r="D37" s="641" t="str">
        <f>'DataBase (IMO form)'!E31</f>
        <v>FER ANN</v>
      </c>
      <c r="E37" s="642" t="str">
        <f>'DataBase (IMO form)'!C31</f>
        <v>MTM</v>
      </c>
      <c r="F37" s="642" t="str">
        <f>'DataBase (IMO form)'!L31</f>
        <v>FILIPINO</v>
      </c>
      <c r="G37" s="876">
        <f>'DataBase (IMO form)'!I31</f>
        <v>33831</v>
      </c>
      <c r="H37" s="644" t="str">
        <f>'DataBase (IMO form)'!K31</f>
        <v>ILOILO CITY</v>
      </c>
      <c r="I37" s="644" t="e">
        <v>#REF!</v>
      </c>
      <c r="J37" s="644" t="str">
        <f>'DataBase (IMO form)'!H31</f>
        <v>M</v>
      </c>
      <c r="K37" s="644" t="s">
        <v>709</v>
      </c>
      <c r="L37" s="877" t="str">
        <f>'DataBase (IMO form)'!M31</f>
        <v>PHILIPPINES</v>
      </c>
      <c r="M37" s="875" t="s">
        <v>710</v>
      </c>
    </row>
    <row r="38" spans="1:13" s="497" customFormat="1" ht="38.25" customHeight="1" thickBot="1">
      <c r="A38" s="890"/>
      <c r="B38" s="640">
        <f>'DataBase (IMO form)'!B32</f>
        <v>25</v>
      </c>
      <c r="C38" s="641" t="str">
        <f>'DataBase (IMO form)'!D32</f>
        <v>FLORES</v>
      </c>
      <c r="D38" s="641" t="str">
        <f>'DataBase (IMO form)'!E32</f>
        <v>NORIEL</v>
      </c>
      <c r="E38" s="642" t="str">
        <f>'DataBase (IMO form)'!C32</f>
        <v>WIPER</v>
      </c>
      <c r="F38" s="642" t="str">
        <f>'DataBase (IMO form)'!L32</f>
        <v>FILIPINO</v>
      </c>
      <c r="G38" s="876">
        <f>'DataBase (IMO form)'!I32</f>
        <v>36550</v>
      </c>
      <c r="H38" s="644" t="str">
        <f>'DataBase (IMO form)'!K32</f>
        <v>P GALERA OR MDO</v>
      </c>
      <c r="I38" s="644" t="e">
        <v>#REF!</v>
      </c>
      <c r="J38" s="644" t="str">
        <f>'DataBase (IMO form)'!H32</f>
        <v>M</v>
      </c>
      <c r="K38" s="644" t="s">
        <v>709</v>
      </c>
      <c r="L38" s="877" t="str">
        <f>'DataBase (IMO form)'!M32</f>
        <v>PHILIPPINES</v>
      </c>
      <c r="M38" s="875" t="s">
        <v>710</v>
      </c>
    </row>
    <row r="39" spans="1:13" s="497" customFormat="1" ht="38.25" customHeight="1" thickBot="1">
      <c r="A39" s="890"/>
      <c r="B39" s="640">
        <f>'DataBase (IMO form)'!B33</f>
        <v>26</v>
      </c>
      <c r="C39" s="641" t="str">
        <f>'DataBase (IMO form)'!D33</f>
        <v>ESTRABELA</v>
      </c>
      <c r="D39" s="641" t="str">
        <f>'DataBase (IMO form)'!E33</f>
        <v>ARIES</v>
      </c>
      <c r="E39" s="642" t="str">
        <f>'DataBase (IMO form)'!C33</f>
        <v>CHIEF COOK</v>
      </c>
      <c r="F39" s="642" t="str">
        <f>'DataBase (IMO form)'!L33</f>
        <v>FILIPINO</v>
      </c>
      <c r="G39" s="876">
        <f>'DataBase (IMO form)'!I33</f>
        <v>34876</v>
      </c>
      <c r="H39" s="644" t="str">
        <f>'DataBase (IMO form)'!K33</f>
        <v>BARCELONA SSG</v>
      </c>
      <c r="I39" s="644" t="e">
        <v>#REF!</v>
      </c>
      <c r="J39" s="644" t="str">
        <f>'DataBase (IMO form)'!H33</f>
        <v>M</v>
      </c>
      <c r="K39" s="644" t="s">
        <v>709</v>
      </c>
      <c r="L39" s="877" t="str">
        <f>'DataBase (IMO form)'!M33</f>
        <v>PHILIPPINES</v>
      </c>
      <c r="M39" s="875" t="s">
        <v>710</v>
      </c>
    </row>
    <row r="40" spans="1:13" s="497" customFormat="1" ht="38.25" customHeight="1" thickBot="1">
      <c r="A40" s="890"/>
      <c r="B40" s="640">
        <f>'DataBase (IMO form)'!B34</f>
        <v>27</v>
      </c>
      <c r="C40" s="641" t="str">
        <f>'DataBase (IMO form)'!D34</f>
        <v>ALLADO</v>
      </c>
      <c r="D40" s="641" t="str">
        <f>'DataBase (IMO form)'!E34</f>
        <v>KEITH VINCENT</v>
      </c>
      <c r="E40" s="642" t="str">
        <f>'DataBase (IMO form)'!C34</f>
        <v>ASS COOK</v>
      </c>
      <c r="F40" s="642" t="str">
        <f>'DataBase (IMO form)'!L34</f>
        <v>FILIPINO</v>
      </c>
      <c r="G40" s="876">
        <f>'DataBase (IMO form)'!I34</f>
        <v>34074</v>
      </c>
      <c r="H40" s="644" t="str">
        <f>'DataBase (IMO form)'!K34</f>
        <v>SAMPALOC QUEZON</v>
      </c>
      <c r="I40" s="644" t="e">
        <v>#REF!</v>
      </c>
      <c r="J40" s="644" t="str">
        <f>'DataBase (IMO form)'!H34</f>
        <v>M</v>
      </c>
      <c r="K40" s="644" t="s">
        <v>709</v>
      </c>
      <c r="L40" s="877" t="str">
        <f>'DataBase (IMO form)'!M34</f>
        <v>PHILIPPINES</v>
      </c>
      <c r="M40" s="875" t="s">
        <v>710</v>
      </c>
    </row>
    <row r="41" spans="1:13" s="497" customFormat="1" ht="29.25" customHeight="1" thickBot="1">
      <c r="A41" s="890"/>
      <c r="B41" s="640">
        <f>'DataBase (IMO form)'!B35</f>
        <v>28</v>
      </c>
      <c r="C41" s="641" t="str">
        <f>'DataBase (IMO form)'!D35</f>
        <v>ABES</v>
      </c>
      <c r="D41" s="641" t="str">
        <f>'DataBase (IMO form)'!E35</f>
        <v>JAMES DARWIN</v>
      </c>
      <c r="E41" s="642" t="str">
        <f>'DataBase (IMO form)'!C35</f>
        <v>MSM</v>
      </c>
      <c r="F41" s="642" t="str">
        <f>'DataBase (IMO form)'!L35</f>
        <v>FILIPINO</v>
      </c>
      <c r="G41" s="876">
        <f>'DataBase (IMO form)'!I35</f>
        <v>36409</v>
      </c>
      <c r="H41" s="644" t="str">
        <f>'DataBase (IMO form)'!K35</f>
        <v>GITAGUM MIS OR</v>
      </c>
      <c r="I41" s="644" t="e">
        <v>#REF!</v>
      </c>
      <c r="J41" s="644" t="str">
        <f>'DataBase (IMO form)'!H35</f>
        <v>M</v>
      </c>
      <c r="K41" s="644" t="s">
        <v>709</v>
      </c>
      <c r="L41" s="877" t="str">
        <f>'DataBase (IMO form)'!M35</f>
        <v>PHILIPPINES</v>
      </c>
      <c r="M41" s="875" t="s">
        <v>710</v>
      </c>
    </row>
    <row r="42" spans="1:13" s="497" customFormat="1" ht="25.5" hidden="1" customHeight="1" thickBot="1">
      <c r="A42" s="890"/>
      <c r="B42" s="640">
        <f>'DataBase (IMO form)'!B36</f>
        <v>0</v>
      </c>
      <c r="C42" s="641">
        <f>'DataBase (IMO form)'!D36</f>
        <v>0</v>
      </c>
      <c r="D42" s="641">
        <f>'DataBase (IMO form)'!E36</f>
        <v>0</v>
      </c>
      <c r="E42" s="642">
        <f>'DataBase (IMO form)'!C36</f>
        <v>0</v>
      </c>
      <c r="F42" s="642">
        <f>'DataBase (IMO form)'!L36</f>
        <v>0</v>
      </c>
      <c r="G42" s="876">
        <f>'DataBase (IMO form)'!I36</f>
        <v>0</v>
      </c>
      <c r="H42" s="644">
        <f>'DataBase (IMO form)'!K36</f>
        <v>0</v>
      </c>
      <c r="I42" s="644" t="e">
        <v>#REF!</v>
      </c>
      <c r="J42" s="644">
        <f>'DataBase (IMO form)'!H36</f>
        <v>0</v>
      </c>
      <c r="K42" s="644" t="s">
        <v>709</v>
      </c>
      <c r="L42" s="877">
        <f>'DataBase (IMO form)'!M36</f>
        <v>0</v>
      </c>
      <c r="M42" s="875" t="s">
        <v>710</v>
      </c>
    </row>
    <row r="43" spans="1:13" s="497" customFormat="1">
      <c r="A43" s="891"/>
      <c r="B43" s="1133" t="s">
        <v>251</v>
      </c>
      <c r="C43" s="1133"/>
      <c r="D43" s="1133"/>
      <c r="E43" s="1133"/>
      <c r="F43" s="1133"/>
      <c r="G43" s="1133"/>
      <c r="H43" s="1133"/>
      <c r="I43" s="1133"/>
      <c r="J43" s="1133"/>
      <c r="K43" s="1133"/>
      <c r="L43" s="1133"/>
      <c r="M43" s="1133"/>
    </row>
    <row r="44" spans="1:13" s="500" customFormat="1" ht="16.5" customHeight="1">
      <c r="A44" s="499"/>
      <c r="B44" s="1132" t="s">
        <v>143</v>
      </c>
      <c r="C44" s="1132"/>
      <c r="D44" s="1132"/>
      <c r="E44" s="1132"/>
      <c r="F44" s="1132"/>
      <c r="G44" s="1132"/>
      <c r="H44" s="1132"/>
      <c r="I44" s="1132"/>
      <c r="J44" s="1132"/>
      <c r="K44" s="1132"/>
      <c r="L44" s="1132"/>
      <c r="M44" s="1132"/>
    </row>
    <row r="45" spans="1:13" ht="15" customHeight="1">
      <c r="C45" s="503">
        <f>I7</f>
        <v>46106</v>
      </c>
      <c r="E45" s="504"/>
    </row>
    <row r="46" spans="1:13" ht="15">
      <c r="E46" s="504"/>
      <c r="G46" s="1129" t="str">
        <f>M.Menu!S16</f>
        <v>CAPT. WENDT ROBERT</v>
      </c>
      <c r="H46" s="1130"/>
      <c r="I46" s="1130"/>
      <c r="J46" s="1130"/>
      <c r="K46" s="1130"/>
      <c r="L46" s="1130"/>
      <c r="M46" s="888"/>
    </row>
    <row r="47" spans="1:13">
      <c r="A47" s="506"/>
      <c r="B47" s="507"/>
      <c r="C47" s="507"/>
      <c r="D47" s="507"/>
      <c r="E47" s="508"/>
      <c r="G47" s="1131" t="s">
        <v>39</v>
      </c>
      <c r="H47" s="1131"/>
      <c r="I47" s="1131"/>
      <c r="J47" s="1131"/>
      <c r="K47" s="1131"/>
      <c r="L47" s="1131"/>
      <c r="M47" s="889"/>
    </row>
    <row r="48" spans="1:13">
      <c r="E48" s="504"/>
    </row>
    <row r="49" spans="1:11">
      <c r="E49" s="504"/>
    </row>
    <row r="50" spans="1:11">
      <c r="E50" s="504"/>
    </row>
    <row r="51" spans="1:11">
      <c r="E51" s="504"/>
    </row>
    <row r="52" spans="1:11" s="502" customFormat="1">
      <c r="A52" s="501"/>
      <c r="E52" s="504"/>
      <c r="G52" s="505"/>
      <c r="H52" s="504"/>
      <c r="I52" s="504"/>
      <c r="J52" s="504"/>
      <c r="K52" s="504"/>
    </row>
    <row r="53" spans="1:11" s="502" customFormat="1">
      <c r="A53" s="501"/>
      <c r="E53" s="504"/>
      <c r="G53" s="505"/>
      <c r="H53" s="504"/>
      <c r="I53" s="504"/>
      <c r="J53" s="504"/>
      <c r="K53" s="504"/>
    </row>
    <row r="54" spans="1:11" s="502" customFormat="1">
      <c r="A54" s="501"/>
      <c r="E54" s="504"/>
      <c r="G54" s="505"/>
      <c r="H54" s="504"/>
      <c r="I54" s="504"/>
      <c r="J54" s="504"/>
      <c r="K54" s="504"/>
    </row>
    <row r="55" spans="1:11" s="502" customFormat="1">
      <c r="A55" s="501"/>
      <c r="E55" s="504"/>
      <c r="G55" s="505"/>
      <c r="H55" s="504"/>
      <c r="I55" s="504"/>
      <c r="J55" s="504"/>
      <c r="K55" s="504"/>
    </row>
    <row r="56" spans="1:11" s="502" customFormat="1">
      <c r="A56" s="501"/>
      <c r="E56" s="504"/>
      <c r="G56" s="505"/>
      <c r="H56" s="504"/>
      <c r="I56" s="504"/>
      <c r="J56" s="504"/>
      <c r="K56" s="504"/>
    </row>
    <row r="57" spans="1:11" s="502" customFormat="1">
      <c r="A57" s="501"/>
      <c r="E57" s="504"/>
      <c r="G57" s="505"/>
      <c r="H57" s="504"/>
      <c r="I57" s="504"/>
      <c r="J57" s="504"/>
      <c r="K57" s="504"/>
    </row>
    <row r="58" spans="1:11" s="502" customFormat="1">
      <c r="A58" s="501"/>
      <c r="E58" s="504"/>
      <c r="G58" s="505"/>
      <c r="H58" s="504"/>
      <c r="I58" s="504"/>
      <c r="J58" s="504"/>
      <c r="K58" s="504"/>
    </row>
    <row r="59" spans="1:11" s="502" customFormat="1">
      <c r="A59" s="501"/>
      <c r="E59" s="504"/>
      <c r="G59" s="505"/>
      <c r="H59" s="504"/>
      <c r="I59" s="504"/>
      <c r="J59" s="504"/>
      <c r="K59" s="504"/>
    </row>
    <row r="60" spans="1:11" s="502" customFormat="1">
      <c r="A60" s="501"/>
      <c r="E60" s="504"/>
      <c r="G60" s="505"/>
      <c r="H60" s="504"/>
      <c r="I60" s="504"/>
      <c r="J60" s="504"/>
      <c r="K60" s="504"/>
    </row>
    <row r="61" spans="1:11" s="502" customFormat="1">
      <c r="A61" s="501"/>
      <c r="E61" s="504"/>
      <c r="G61" s="505"/>
      <c r="H61" s="504"/>
      <c r="I61" s="504"/>
      <c r="J61" s="504"/>
      <c r="K61" s="504"/>
    </row>
    <row r="62" spans="1:11" s="502" customFormat="1">
      <c r="A62" s="501"/>
      <c r="E62" s="504"/>
      <c r="G62" s="505"/>
      <c r="H62" s="504"/>
      <c r="I62" s="504"/>
      <c r="J62" s="504"/>
      <c r="K62" s="504"/>
    </row>
    <row r="63" spans="1:11" s="502" customFormat="1">
      <c r="A63" s="501"/>
      <c r="E63" s="504"/>
      <c r="G63" s="505"/>
      <c r="H63" s="504"/>
      <c r="I63" s="504"/>
      <c r="J63" s="504"/>
      <c r="K63" s="504"/>
    </row>
    <row r="64" spans="1:11" s="502" customFormat="1">
      <c r="A64" s="501"/>
      <c r="E64" s="504"/>
      <c r="G64" s="505"/>
      <c r="H64" s="504"/>
      <c r="I64" s="504"/>
      <c r="J64" s="504"/>
      <c r="K64" s="504"/>
    </row>
  </sheetData>
  <sheetProtection formatRows="0"/>
  <mergeCells count="27">
    <mergeCell ref="G46:L46"/>
    <mergeCell ref="G47:L47"/>
    <mergeCell ref="J12:J13"/>
    <mergeCell ref="K12:K13"/>
    <mergeCell ref="L12:L13"/>
    <mergeCell ref="I6:M6"/>
    <mergeCell ref="F7:H8"/>
    <mergeCell ref="I7:M11"/>
    <mergeCell ref="B43:M43"/>
    <mergeCell ref="B44:M44"/>
    <mergeCell ref="M12:M13"/>
    <mergeCell ref="L4:M4"/>
    <mergeCell ref="B5:D5"/>
    <mergeCell ref="L5:M5"/>
    <mergeCell ref="B2:M3"/>
    <mergeCell ref="A30:A36"/>
    <mergeCell ref="B11:E11"/>
    <mergeCell ref="F11:H11"/>
    <mergeCell ref="B12:B13"/>
    <mergeCell ref="C12:C13"/>
    <mergeCell ref="D12:D13"/>
    <mergeCell ref="E12:E13"/>
    <mergeCell ref="F12:F13"/>
    <mergeCell ref="G12:G13"/>
    <mergeCell ref="H12:H13"/>
    <mergeCell ref="A6:A29"/>
    <mergeCell ref="D6:E6"/>
  </mergeCells>
  <conditionalFormatting sqref="B14:M42">
    <cfRule type="cellIs" dxfId="0" priority="23071" stopIfTrue="1" operator="lessThanOrEqual">
      <formula>$S$7</formula>
    </cfRule>
  </conditionalFormatting>
  <printOptions horizontalCentered="1"/>
  <pageMargins left="0.7" right="0.7" top="0.75" bottom="0.75" header="0.3" footer="0.3"/>
  <pageSetup paperSize="9" scale="46" orientation="portrait" r:id="rId1"/>
  <headerFooter alignWithMargins="0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58"/>
  <dimension ref="B1:K67"/>
  <sheetViews>
    <sheetView showGridLines="0" showZeros="0" zoomScale="85" zoomScaleNormal="85" zoomScaleSheetLayoutView="100" workbookViewId="0">
      <selection activeCell="D12" sqref="D12"/>
    </sheetView>
  </sheetViews>
  <sheetFormatPr defaultColWidth="11.42578125" defaultRowHeight="12.75"/>
  <cols>
    <col min="1" max="1" width="9.140625" style="928" customWidth="1"/>
    <col min="2" max="2" width="6.140625" style="965" customWidth="1"/>
    <col min="3" max="3" width="30.140625" style="965" customWidth="1"/>
    <col min="4" max="4" width="28.85546875" style="965" customWidth="1"/>
    <col min="5" max="5" width="17" style="966" customWidth="1"/>
    <col min="6" max="6" width="15.140625" style="965" customWidth="1"/>
    <col min="7" max="7" width="6.140625" style="965" customWidth="1"/>
    <col min="8" max="8" width="30.140625" style="965" customWidth="1"/>
    <col min="9" max="9" width="28.85546875" style="965" customWidth="1"/>
    <col min="10" max="10" width="17" style="966" customWidth="1"/>
    <col min="11" max="11" width="15.140625" style="965" customWidth="1"/>
    <col min="12" max="16384" width="11.42578125" style="928"/>
  </cols>
  <sheetData>
    <row r="1" spans="2:11" ht="27.75" customHeight="1">
      <c r="B1" s="928"/>
      <c r="C1" s="928"/>
      <c r="D1" s="928"/>
      <c r="E1" s="929"/>
      <c r="F1" s="928"/>
      <c r="G1" s="928"/>
      <c r="H1" s="928"/>
      <c r="I1" s="928"/>
      <c r="J1" s="929"/>
      <c r="K1" s="928"/>
    </row>
    <row r="2" spans="2:11" ht="18.75" customHeight="1">
      <c r="B2" s="1483" t="s">
        <v>78</v>
      </c>
      <c r="C2" s="1484"/>
      <c r="D2" s="1484"/>
      <c r="E2" s="1484"/>
      <c r="F2" s="1484"/>
      <c r="G2" s="1483" t="s">
        <v>78</v>
      </c>
      <c r="H2" s="1484"/>
      <c r="I2" s="1484"/>
      <c r="J2" s="1484"/>
      <c r="K2" s="1484"/>
    </row>
    <row r="3" spans="2:11" ht="18.75" customHeight="1">
      <c r="B3" s="930"/>
      <c r="C3" s="930"/>
      <c r="D3" s="930"/>
      <c r="E3" s="931"/>
      <c r="F3" s="930"/>
      <c r="G3" s="930"/>
      <c r="H3" s="930"/>
      <c r="I3" s="930"/>
      <c r="J3" s="931"/>
      <c r="K3" s="930"/>
    </row>
    <row r="4" spans="2:11" s="933" customFormat="1" ht="18.75" customHeight="1">
      <c r="B4" s="1485" t="s">
        <v>93</v>
      </c>
      <c r="C4" s="1486"/>
      <c r="D4" s="932" t="s">
        <v>94</v>
      </c>
      <c r="E4" s="1485" t="s">
        <v>95</v>
      </c>
      <c r="F4" s="1486"/>
      <c r="G4" s="1485" t="s">
        <v>93</v>
      </c>
      <c r="H4" s="1486"/>
      <c r="I4" s="932" t="s">
        <v>94</v>
      </c>
      <c r="J4" s="1485" t="s">
        <v>95</v>
      </c>
      <c r="K4" s="1486"/>
    </row>
    <row r="5" spans="2:11" s="935" customFormat="1" ht="18.75" customHeight="1">
      <c r="B5" s="1487" t="str">
        <f>M.Menu!E3</f>
        <v>Energy Endurance</v>
      </c>
      <c r="C5" s="1488"/>
      <c r="D5" s="934">
        <f>M.Menu!L13</f>
        <v>46106</v>
      </c>
      <c r="E5" s="1477" t="str">
        <f>M.Menu!L11&amp;", "&amp;M.Menu!L12</f>
        <v>Sabine Pass, U.S.A.</v>
      </c>
      <c r="F5" s="1478"/>
      <c r="G5" s="1491" t="str">
        <f>B5</f>
        <v>Energy Endurance</v>
      </c>
      <c r="H5" s="1480"/>
      <c r="I5" s="934">
        <f>D5</f>
        <v>46106</v>
      </c>
      <c r="J5" s="1477" t="str">
        <f>E5</f>
        <v>Sabine Pass, U.S.A.</v>
      </c>
      <c r="K5" s="1478"/>
    </row>
    <row r="6" spans="2:11" s="933" customFormat="1" ht="18.75" customHeight="1">
      <c r="B6" s="1485" t="s">
        <v>49</v>
      </c>
      <c r="C6" s="1486"/>
      <c r="D6" s="936" t="s">
        <v>132</v>
      </c>
      <c r="E6" s="1489" t="s">
        <v>137</v>
      </c>
      <c r="F6" s="1490"/>
      <c r="G6" s="1489" t="s">
        <v>49</v>
      </c>
      <c r="H6" s="1490"/>
      <c r="I6" s="936" t="s">
        <v>132</v>
      </c>
      <c r="J6" s="1489" t="s">
        <v>137</v>
      </c>
      <c r="K6" s="1490"/>
    </row>
    <row r="7" spans="2:11" s="935" customFormat="1" ht="18.75" customHeight="1">
      <c r="B7" s="1479" t="str">
        <f>M.Menu!L8</f>
        <v>Marshall Islands</v>
      </c>
      <c r="C7" s="1480"/>
      <c r="D7" s="937" t="str">
        <f>M.Menu!E4</f>
        <v>V7A7282</v>
      </c>
      <c r="E7" s="1477" t="str">
        <f>M.Menu!E11&amp;", "&amp;M.Menu!E12</f>
        <v>BARCARENA, BRAZIL</v>
      </c>
      <c r="F7" s="1478"/>
      <c r="G7" s="1491" t="str">
        <f>B7</f>
        <v>Marshall Islands</v>
      </c>
      <c r="H7" s="1480"/>
      <c r="I7" s="937" t="str">
        <f>D7</f>
        <v>V7A7282</v>
      </c>
      <c r="J7" s="1477" t="str">
        <f>E7</f>
        <v>BARCARENA, BRAZIL</v>
      </c>
      <c r="K7" s="1478"/>
    </row>
    <row r="8" spans="2:11" ht="18.75" customHeight="1">
      <c r="B8" s="938"/>
      <c r="C8" s="938"/>
      <c r="D8" s="939"/>
      <c r="E8" s="940"/>
      <c r="F8" s="941"/>
      <c r="G8" s="938"/>
      <c r="H8" s="938"/>
      <c r="I8" s="939"/>
      <c r="J8" s="940"/>
      <c r="K8" s="941"/>
    </row>
    <row r="9" spans="2:11" s="933" customFormat="1" ht="18.75" customHeight="1">
      <c r="B9" s="942" t="s">
        <v>44</v>
      </c>
      <c r="C9" s="943" t="s">
        <v>4</v>
      </c>
      <c r="D9" s="943"/>
      <c r="E9" s="1481" t="s">
        <v>123</v>
      </c>
      <c r="F9" s="1482"/>
      <c r="G9" s="942" t="s">
        <v>44</v>
      </c>
      <c r="H9" s="943" t="s">
        <v>4</v>
      </c>
      <c r="I9" s="943"/>
      <c r="J9" s="1481" t="s">
        <v>123</v>
      </c>
      <c r="K9" s="1482"/>
    </row>
    <row r="10" spans="2:11" s="933" customFormat="1" ht="18.75" customHeight="1">
      <c r="B10" s="944"/>
      <c r="C10" s="945"/>
      <c r="D10" s="945"/>
      <c r="E10" s="946"/>
      <c r="F10" s="947"/>
      <c r="G10" s="944"/>
      <c r="H10" s="945"/>
      <c r="I10" s="945"/>
      <c r="J10" s="946"/>
      <c r="K10" s="947"/>
    </row>
    <row r="11" spans="2:11" s="953" customFormat="1" ht="19.5" customHeight="1">
      <c r="B11" s="948">
        <v>1</v>
      </c>
      <c r="C11" s="949" t="s">
        <v>96</v>
      </c>
      <c r="D11" s="950"/>
      <c r="E11" s="951">
        <v>1</v>
      </c>
      <c r="F11" s="952" t="s">
        <v>154</v>
      </c>
      <c r="G11" s="948">
        <v>37</v>
      </c>
      <c r="H11" s="949" t="s">
        <v>16</v>
      </c>
      <c r="I11" s="950"/>
      <c r="J11" s="951">
        <v>1</v>
      </c>
      <c r="K11" s="952" t="s">
        <v>154</v>
      </c>
    </row>
    <row r="12" spans="2:11" s="953" customFormat="1" ht="19.5" customHeight="1">
      <c r="B12" s="948">
        <v>2</v>
      </c>
      <c r="C12" s="949" t="s">
        <v>199</v>
      </c>
      <c r="D12" s="950"/>
      <c r="E12" s="951">
        <v>11</v>
      </c>
      <c r="F12" s="952" t="s">
        <v>154</v>
      </c>
      <c r="G12" s="948">
        <v>38</v>
      </c>
      <c r="H12" s="949" t="s">
        <v>17</v>
      </c>
      <c r="I12" s="950"/>
      <c r="J12" s="951">
        <v>14</v>
      </c>
      <c r="K12" s="952" t="s">
        <v>154</v>
      </c>
    </row>
    <row r="13" spans="2:11" s="953" customFormat="1" ht="19.5" customHeight="1">
      <c r="B13" s="948">
        <v>3</v>
      </c>
      <c r="C13" s="949" t="s">
        <v>211</v>
      </c>
      <c r="D13" s="950"/>
      <c r="E13" s="951">
        <v>2</v>
      </c>
      <c r="F13" s="952" t="s">
        <v>154</v>
      </c>
      <c r="G13" s="948">
        <v>39</v>
      </c>
      <c r="H13" s="949" t="s">
        <v>18</v>
      </c>
      <c r="I13" s="950"/>
      <c r="J13" s="951">
        <v>2</v>
      </c>
      <c r="K13" s="952" t="s">
        <v>154</v>
      </c>
    </row>
    <row r="14" spans="2:11" s="953" customFormat="1" ht="19.5" customHeight="1">
      <c r="B14" s="948">
        <v>4</v>
      </c>
      <c r="C14" s="949" t="s">
        <v>212</v>
      </c>
      <c r="D14" s="950"/>
      <c r="E14" s="951">
        <v>1</v>
      </c>
      <c r="F14" s="952" t="s">
        <v>154</v>
      </c>
      <c r="G14" s="948">
        <v>40</v>
      </c>
      <c r="H14" s="949" t="s">
        <v>19</v>
      </c>
      <c r="I14" s="950"/>
      <c r="J14" s="951">
        <v>7</v>
      </c>
      <c r="K14" s="952" t="s">
        <v>51</v>
      </c>
    </row>
    <row r="15" spans="2:11" s="953" customFormat="1" ht="19.5" customHeight="1">
      <c r="B15" s="948">
        <v>5</v>
      </c>
      <c r="C15" s="949" t="s">
        <v>213</v>
      </c>
      <c r="D15" s="950"/>
      <c r="E15" s="951">
        <v>1</v>
      </c>
      <c r="F15" s="952" t="s">
        <v>154</v>
      </c>
      <c r="G15" s="948">
        <v>41</v>
      </c>
      <c r="H15" s="949" t="s">
        <v>20</v>
      </c>
      <c r="I15" s="950"/>
      <c r="J15" s="951">
        <v>1</v>
      </c>
      <c r="K15" s="952" t="s">
        <v>154</v>
      </c>
    </row>
    <row r="16" spans="2:11" s="953" customFormat="1" ht="19.5" customHeight="1">
      <c r="B16" s="948">
        <v>6</v>
      </c>
      <c r="C16" s="949" t="s">
        <v>214</v>
      </c>
      <c r="D16" s="950"/>
      <c r="E16" s="951">
        <v>2</v>
      </c>
      <c r="F16" s="952" t="s">
        <v>154</v>
      </c>
      <c r="G16" s="948">
        <v>42</v>
      </c>
      <c r="H16" s="949" t="s">
        <v>21</v>
      </c>
      <c r="I16" s="950"/>
      <c r="J16" s="951">
        <v>5</v>
      </c>
      <c r="K16" s="952" t="s">
        <v>154</v>
      </c>
    </row>
    <row r="17" spans="2:11" s="953" customFormat="1" ht="19.5" customHeight="1">
      <c r="B17" s="948">
        <v>7</v>
      </c>
      <c r="C17" s="949" t="s">
        <v>215</v>
      </c>
      <c r="D17" s="950"/>
      <c r="E17" s="951">
        <v>1</v>
      </c>
      <c r="F17" s="952" t="s">
        <v>154</v>
      </c>
      <c r="G17" s="948">
        <v>43</v>
      </c>
      <c r="H17" s="949" t="s">
        <v>22</v>
      </c>
      <c r="I17" s="950"/>
      <c r="J17" s="951">
        <v>2</v>
      </c>
      <c r="K17" s="952" t="s">
        <v>154</v>
      </c>
    </row>
    <row r="18" spans="2:11" s="953" customFormat="1" ht="19.5" customHeight="1">
      <c r="B18" s="948">
        <v>8</v>
      </c>
      <c r="C18" s="949" t="s">
        <v>216</v>
      </c>
      <c r="D18" s="950"/>
      <c r="E18" s="951">
        <v>1</v>
      </c>
      <c r="F18" s="952" t="s">
        <v>154</v>
      </c>
      <c r="G18" s="948">
        <v>44</v>
      </c>
      <c r="H18" s="949" t="s">
        <v>23</v>
      </c>
      <c r="I18" s="950"/>
      <c r="J18" s="951">
        <v>7</v>
      </c>
      <c r="K18" s="952" t="s">
        <v>154</v>
      </c>
    </row>
    <row r="19" spans="2:11" s="953" customFormat="1" ht="19.5" customHeight="1">
      <c r="B19" s="948">
        <v>9</v>
      </c>
      <c r="C19" s="949" t="s">
        <v>217</v>
      </c>
      <c r="D19" s="950"/>
      <c r="E19" s="951">
        <v>1</v>
      </c>
      <c r="F19" s="952" t="s">
        <v>154</v>
      </c>
      <c r="G19" s="948">
        <v>45</v>
      </c>
      <c r="H19" s="949" t="s">
        <v>24</v>
      </c>
      <c r="I19" s="950"/>
      <c r="J19" s="951">
        <v>1</v>
      </c>
      <c r="K19" s="952" t="s">
        <v>154</v>
      </c>
    </row>
    <row r="20" spans="2:11" s="953" customFormat="1" ht="19.5" customHeight="1">
      <c r="B20" s="948">
        <v>10</v>
      </c>
      <c r="C20" s="949" t="s">
        <v>218</v>
      </c>
      <c r="D20" s="950"/>
      <c r="E20" s="951">
        <v>2</v>
      </c>
      <c r="F20" s="952" t="s">
        <v>154</v>
      </c>
      <c r="G20" s="948">
        <v>46</v>
      </c>
      <c r="H20" s="949" t="s">
        <v>25</v>
      </c>
      <c r="I20" s="950"/>
      <c r="J20" s="951">
        <v>2</v>
      </c>
      <c r="K20" s="952" t="s">
        <v>154</v>
      </c>
    </row>
    <row r="21" spans="2:11" s="953" customFormat="1" ht="19.5" customHeight="1">
      <c r="B21" s="948">
        <v>11</v>
      </c>
      <c r="C21" s="949" t="s">
        <v>223</v>
      </c>
      <c r="D21" s="950"/>
      <c r="E21" s="951">
        <v>1</v>
      </c>
      <c r="F21" s="952" t="s">
        <v>154</v>
      </c>
      <c r="G21" s="948">
        <v>47</v>
      </c>
      <c r="H21" s="949" t="s">
        <v>26</v>
      </c>
      <c r="I21" s="950"/>
      <c r="J21" s="951">
        <v>2</v>
      </c>
      <c r="K21" s="952" t="s">
        <v>154</v>
      </c>
    </row>
    <row r="22" spans="2:11" s="953" customFormat="1" ht="19.5" customHeight="1">
      <c r="B22" s="948">
        <v>12</v>
      </c>
      <c r="C22" s="949" t="s">
        <v>219</v>
      </c>
      <c r="D22" s="950"/>
      <c r="E22" s="951">
        <v>1</v>
      </c>
      <c r="F22" s="952" t="s">
        <v>154</v>
      </c>
      <c r="G22" s="948">
        <v>48</v>
      </c>
      <c r="H22" s="949" t="s">
        <v>27</v>
      </c>
      <c r="I22" s="950"/>
      <c r="J22" s="951">
        <v>1</v>
      </c>
      <c r="K22" s="952" t="s">
        <v>75</v>
      </c>
    </row>
    <row r="23" spans="2:11" s="953" customFormat="1" ht="19.5" customHeight="1">
      <c r="B23" s="948">
        <v>13</v>
      </c>
      <c r="C23" s="949" t="s">
        <v>220</v>
      </c>
      <c r="D23" s="950"/>
      <c r="E23" s="951">
        <v>1</v>
      </c>
      <c r="F23" s="952" t="s">
        <v>154</v>
      </c>
      <c r="G23" s="948">
        <v>49</v>
      </c>
      <c r="H23" s="949" t="s">
        <v>28</v>
      </c>
      <c r="I23" s="950"/>
      <c r="J23" s="951">
        <v>1</v>
      </c>
      <c r="K23" s="952" t="s">
        <v>154</v>
      </c>
    </row>
    <row r="24" spans="2:11" s="953" customFormat="1" ht="19.5" customHeight="1">
      <c r="B24" s="948">
        <v>14</v>
      </c>
      <c r="C24" s="949" t="s">
        <v>97</v>
      </c>
      <c r="D24" s="950"/>
      <c r="E24" s="951">
        <v>1</v>
      </c>
      <c r="F24" s="952" t="s">
        <v>165</v>
      </c>
      <c r="G24" s="948">
        <v>50</v>
      </c>
      <c r="H24" s="949" t="s">
        <v>29</v>
      </c>
      <c r="I24" s="950"/>
      <c r="J24" s="951">
        <v>14</v>
      </c>
      <c r="K24" s="952" t="s">
        <v>154</v>
      </c>
    </row>
    <row r="25" spans="2:11" s="953" customFormat="1" ht="19.5" customHeight="1">
      <c r="B25" s="948">
        <v>15</v>
      </c>
      <c r="C25" s="949" t="s">
        <v>98</v>
      </c>
      <c r="D25" s="950"/>
      <c r="E25" s="951">
        <v>1</v>
      </c>
      <c r="F25" s="952" t="s">
        <v>154</v>
      </c>
      <c r="G25" s="948">
        <v>51</v>
      </c>
      <c r="H25" s="949" t="s">
        <v>30</v>
      </c>
      <c r="I25" s="950"/>
      <c r="J25" s="951">
        <v>1</v>
      </c>
      <c r="K25" s="952" t="s">
        <v>154</v>
      </c>
    </row>
    <row r="26" spans="2:11" s="953" customFormat="1" ht="19.5" customHeight="1">
      <c r="B26" s="948">
        <v>16</v>
      </c>
      <c r="C26" s="949" t="s">
        <v>99</v>
      </c>
      <c r="D26" s="950"/>
      <c r="E26" s="951">
        <v>1</v>
      </c>
      <c r="F26" s="952" t="s">
        <v>154</v>
      </c>
      <c r="G26" s="948">
        <v>52</v>
      </c>
      <c r="H26" s="949" t="s">
        <v>183</v>
      </c>
      <c r="I26" s="950"/>
      <c r="J26" s="951">
        <v>1</v>
      </c>
      <c r="K26" s="952" t="s">
        <v>154</v>
      </c>
    </row>
    <row r="27" spans="2:11" s="953" customFormat="1" ht="19.5" customHeight="1">
      <c r="B27" s="948">
        <v>17</v>
      </c>
      <c r="C27" s="949" t="s">
        <v>100</v>
      </c>
      <c r="D27" s="950"/>
      <c r="E27" s="951">
        <v>1</v>
      </c>
      <c r="F27" s="952" t="s">
        <v>154</v>
      </c>
      <c r="G27" s="948">
        <v>53</v>
      </c>
      <c r="H27" s="949" t="s">
        <v>31</v>
      </c>
      <c r="I27" s="950"/>
      <c r="J27" s="951">
        <v>3</v>
      </c>
      <c r="K27" s="952" t="s">
        <v>51</v>
      </c>
    </row>
    <row r="28" spans="2:11" s="953" customFormat="1" ht="19.5" customHeight="1">
      <c r="B28" s="948">
        <v>18</v>
      </c>
      <c r="C28" s="949" t="s">
        <v>101</v>
      </c>
      <c r="D28" s="950"/>
      <c r="E28" s="951">
        <v>1</v>
      </c>
      <c r="F28" s="952" t="s">
        <v>154</v>
      </c>
      <c r="G28" s="948">
        <v>54</v>
      </c>
      <c r="H28" s="949" t="s">
        <v>32</v>
      </c>
      <c r="I28" s="950"/>
      <c r="J28" s="951">
        <v>2</v>
      </c>
      <c r="K28" s="952" t="s">
        <v>154</v>
      </c>
    </row>
    <row r="29" spans="2:11" s="953" customFormat="1" ht="19.5" customHeight="1">
      <c r="B29" s="948">
        <v>19</v>
      </c>
      <c r="C29" s="949" t="s">
        <v>102</v>
      </c>
      <c r="D29" s="950"/>
      <c r="E29" s="951">
        <v>1</v>
      </c>
      <c r="F29" s="952" t="s">
        <v>154</v>
      </c>
      <c r="G29" s="948">
        <v>55</v>
      </c>
      <c r="H29" s="949" t="s">
        <v>198</v>
      </c>
      <c r="I29" s="950"/>
      <c r="J29" s="951">
        <v>1</v>
      </c>
      <c r="K29" s="952" t="s">
        <v>154</v>
      </c>
    </row>
    <row r="30" spans="2:11" s="953" customFormat="1" ht="19.5" customHeight="1">
      <c r="B30" s="948">
        <v>20</v>
      </c>
      <c r="C30" s="949" t="s">
        <v>103</v>
      </c>
      <c r="D30" s="950"/>
      <c r="E30" s="951">
        <v>2</v>
      </c>
      <c r="F30" s="952" t="s">
        <v>154</v>
      </c>
      <c r="G30" s="948">
        <v>56</v>
      </c>
      <c r="H30" s="949" t="s">
        <v>60</v>
      </c>
      <c r="I30" s="950"/>
      <c r="J30" s="951">
        <v>1</v>
      </c>
      <c r="K30" s="952" t="s">
        <v>165</v>
      </c>
    </row>
    <row r="31" spans="2:11" s="953" customFormat="1" ht="19.5" customHeight="1">
      <c r="B31" s="948">
        <v>21</v>
      </c>
      <c r="C31" s="949" t="s">
        <v>104</v>
      </c>
      <c r="D31" s="950"/>
      <c r="E31" s="951">
        <v>1</v>
      </c>
      <c r="F31" s="952" t="s">
        <v>154</v>
      </c>
      <c r="G31" s="948">
        <v>57</v>
      </c>
      <c r="H31" s="949" t="s">
        <v>61</v>
      </c>
      <c r="I31" s="950"/>
      <c r="J31" s="951">
        <v>1</v>
      </c>
      <c r="K31" s="952" t="s">
        <v>165</v>
      </c>
    </row>
    <row r="32" spans="2:11" s="953" customFormat="1" ht="19.5" customHeight="1">
      <c r="B32" s="948">
        <v>22</v>
      </c>
      <c r="C32" s="949" t="s">
        <v>105</v>
      </c>
      <c r="D32" s="950"/>
      <c r="E32" s="951">
        <v>13</v>
      </c>
      <c r="F32" s="952" t="s">
        <v>154</v>
      </c>
      <c r="G32" s="948">
        <v>58</v>
      </c>
      <c r="H32" s="949" t="s">
        <v>92</v>
      </c>
      <c r="I32" s="950"/>
      <c r="J32" s="951">
        <v>3</v>
      </c>
      <c r="K32" s="952" t="s">
        <v>154</v>
      </c>
    </row>
    <row r="33" spans="2:11" s="953" customFormat="1" ht="19.5" customHeight="1">
      <c r="B33" s="948">
        <v>23</v>
      </c>
      <c r="C33" s="949" t="s">
        <v>106</v>
      </c>
      <c r="D33" s="950"/>
      <c r="E33" s="951">
        <v>6</v>
      </c>
      <c r="F33" s="952" t="s">
        <v>154</v>
      </c>
      <c r="G33" s="948">
        <v>59</v>
      </c>
      <c r="H33" s="949" t="s">
        <v>33</v>
      </c>
      <c r="I33" s="950"/>
      <c r="J33" s="951">
        <v>400</v>
      </c>
      <c r="K33" s="952" t="s">
        <v>51</v>
      </c>
    </row>
    <row r="34" spans="2:11" s="953" customFormat="1" ht="19.5" customHeight="1">
      <c r="B34" s="948">
        <v>24</v>
      </c>
      <c r="C34" s="949" t="s">
        <v>224</v>
      </c>
      <c r="D34" s="950"/>
      <c r="E34" s="951">
        <v>17</v>
      </c>
      <c r="F34" s="952" t="s">
        <v>154</v>
      </c>
      <c r="G34" s="948">
        <v>60</v>
      </c>
      <c r="H34" s="949" t="s">
        <v>34</v>
      </c>
      <c r="I34" s="950"/>
      <c r="J34" s="951">
        <v>6</v>
      </c>
      <c r="K34" s="952" t="s">
        <v>154</v>
      </c>
    </row>
    <row r="35" spans="2:11" s="953" customFormat="1" ht="19.5" customHeight="1">
      <c r="B35" s="948">
        <v>25</v>
      </c>
      <c r="C35" s="949" t="s">
        <v>107</v>
      </c>
      <c r="D35" s="950"/>
      <c r="E35" s="951">
        <v>5</v>
      </c>
      <c r="F35" s="952" t="s">
        <v>154</v>
      </c>
      <c r="G35" s="948">
        <v>61</v>
      </c>
      <c r="H35" s="949" t="s">
        <v>190</v>
      </c>
      <c r="I35" s="950"/>
      <c r="J35" s="951">
        <v>3</v>
      </c>
      <c r="K35" s="952" t="s">
        <v>154</v>
      </c>
    </row>
    <row r="36" spans="2:11" s="953" customFormat="1" ht="19.5" customHeight="1">
      <c r="B36" s="948">
        <v>26</v>
      </c>
      <c r="C36" s="949" t="s">
        <v>108</v>
      </c>
      <c r="D36" s="950"/>
      <c r="E36" s="951">
        <v>1</v>
      </c>
      <c r="F36" s="952" t="s">
        <v>154</v>
      </c>
      <c r="G36" s="948">
        <v>62</v>
      </c>
      <c r="H36" s="949" t="s">
        <v>221</v>
      </c>
      <c r="I36" s="950"/>
      <c r="J36" s="951">
        <v>1</v>
      </c>
      <c r="K36" s="952" t="s">
        <v>154</v>
      </c>
    </row>
    <row r="37" spans="2:11" s="953" customFormat="1" ht="19.5" customHeight="1">
      <c r="B37" s="948">
        <v>27</v>
      </c>
      <c r="C37" s="949" t="s">
        <v>109</v>
      </c>
      <c r="D37" s="950"/>
      <c r="E37" s="951">
        <v>3</v>
      </c>
      <c r="F37" s="952" t="s">
        <v>154</v>
      </c>
      <c r="G37" s="948">
        <v>63</v>
      </c>
      <c r="H37" s="949" t="s">
        <v>222</v>
      </c>
      <c r="I37" s="950"/>
      <c r="J37" s="951">
        <v>4</v>
      </c>
      <c r="K37" s="952" t="s">
        <v>154</v>
      </c>
    </row>
    <row r="38" spans="2:11" s="953" customFormat="1" ht="19.5" customHeight="1">
      <c r="B38" s="948">
        <v>28</v>
      </c>
      <c r="C38" s="949" t="s">
        <v>7</v>
      </c>
      <c r="D38" s="950"/>
      <c r="E38" s="951">
        <v>1</v>
      </c>
      <c r="F38" s="952" t="s">
        <v>154</v>
      </c>
      <c r="G38" s="948"/>
      <c r="H38" s="949"/>
      <c r="I38" s="950"/>
      <c r="J38" s="951"/>
      <c r="K38" s="952"/>
    </row>
    <row r="39" spans="2:11" s="953" customFormat="1" ht="19.5" customHeight="1">
      <c r="B39" s="948">
        <v>29</v>
      </c>
      <c r="C39" s="949" t="s">
        <v>8</v>
      </c>
      <c r="D39" s="950"/>
      <c r="E39" s="951">
        <v>2</v>
      </c>
      <c r="F39" s="952" t="s">
        <v>154</v>
      </c>
      <c r="G39" s="948"/>
      <c r="H39" s="949"/>
      <c r="I39" s="950"/>
      <c r="J39" s="951"/>
      <c r="K39" s="952"/>
    </row>
    <row r="40" spans="2:11" s="953" customFormat="1" ht="19.5" customHeight="1">
      <c r="B40" s="948">
        <v>30</v>
      </c>
      <c r="C40" s="949" t="s">
        <v>9</v>
      </c>
      <c r="D40" s="950"/>
      <c r="E40" s="951">
        <v>1</v>
      </c>
      <c r="F40" s="952" t="s">
        <v>154</v>
      </c>
      <c r="G40" s="948"/>
      <c r="H40" s="949"/>
      <c r="I40" s="950"/>
      <c r="J40" s="951"/>
      <c r="K40" s="952"/>
    </row>
    <row r="41" spans="2:11" s="953" customFormat="1" ht="19.5" customHeight="1">
      <c r="B41" s="948">
        <v>31</v>
      </c>
      <c r="C41" s="949" t="s">
        <v>10</v>
      </c>
      <c r="D41" s="950"/>
      <c r="E41" s="951">
        <v>1</v>
      </c>
      <c r="F41" s="952" t="s">
        <v>154</v>
      </c>
      <c r="G41" s="948"/>
      <c r="H41" s="949"/>
      <c r="I41" s="950"/>
      <c r="J41" s="951"/>
      <c r="K41" s="952"/>
    </row>
    <row r="42" spans="2:11" s="953" customFormat="1" ht="19.5" customHeight="1">
      <c r="B42" s="948">
        <v>32</v>
      </c>
      <c r="C42" s="949" t="s">
        <v>11</v>
      </c>
      <c r="D42" s="950"/>
      <c r="E42" s="951">
        <v>1</v>
      </c>
      <c r="F42" s="952" t="s">
        <v>51</v>
      </c>
      <c r="G42" s="948"/>
      <c r="H42" s="949"/>
      <c r="I42" s="950"/>
      <c r="J42" s="951"/>
      <c r="K42" s="952"/>
    </row>
    <row r="43" spans="2:11" s="953" customFormat="1" ht="19.5" customHeight="1">
      <c r="B43" s="948">
        <v>33</v>
      </c>
      <c r="C43" s="949" t="s">
        <v>15</v>
      </c>
      <c r="D43" s="950"/>
      <c r="E43" s="951">
        <v>2</v>
      </c>
      <c r="F43" s="952" t="s">
        <v>51</v>
      </c>
      <c r="G43" s="948"/>
      <c r="H43" s="949"/>
      <c r="I43" s="950"/>
      <c r="J43" s="951"/>
      <c r="K43" s="952"/>
    </row>
    <row r="44" spans="2:11" s="953" customFormat="1" ht="19.5" customHeight="1">
      <c r="B44" s="948">
        <v>34</v>
      </c>
      <c r="C44" s="949" t="s">
        <v>12</v>
      </c>
      <c r="D44" s="950"/>
      <c r="E44" s="951">
        <v>2</v>
      </c>
      <c r="F44" s="952" t="s">
        <v>154</v>
      </c>
      <c r="G44" s="948"/>
      <c r="H44" s="949"/>
      <c r="I44" s="950"/>
      <c r="J44" s="951"/>
      <c r="K44" s="952"/>
    </row>
    <row r="45" spans="2:11" s="953" customFormat="1" ht="19.5" customHeight="1">
      <c r="B45" s="948">
        <v>35</v>
      </c>
      <c r="C45" s="949" t="s">
        <v>13</v>
      </c>
      <c r="D45" s="950"/>
      <c r="E45" s="951">
        <v>2</v>
      </c>
      <c r="F45" s="952" t="s">
        <v>75</v>
      </c>
      <c r="G45" s="948"/>
      <c r="H45" s="949"/>
      <c r="I45" s="950"/>
      <c r="J45" s="951"/>
      <c r="K45" s="952"/>
    </row>
    <row r="46" spans="2:11" s="953" customFormat="1" ht="19.5" customHeight="1">
      <c r="B46" s="948">
        <v>36</v>
      </c>
      <c r="C46" s="949" t="s">
        <v>14</v>
      </c>
      <c r="D46" s="950"/>
      <c r="E46" s="951">
        <v>1</v>
      </c>
      <c r="F46" s="952" t="s">
        <v>51</v>
      </c>
      <c r="G46" s="948"/>
      <c r="H46" s="949"/>
      <c r="I46" s="950"/>
      <c r="J46" s="951"/>
      <c r="K46" s="952"/>
    </row>
    <row r="47" spans="2:11" s="953" customFormat="1" ht="19.5" customHeight="1">
      <c r="G47" s="948"/>
      <c r="H47" s="954"/>
      <c r="I47" s="950"/>
      <c r="J47" s="951"/>
      <c r="K47" s="952"/>
    </row>
    <row r="48" spans="2:11" ht="19.5" customHeight="1">
      <c r="B48" s="955" t="s">
        <v>76</v>
      </c>
      <c r="C48" s="956"/>
      <c r="D48" s="957"/>
      <c r="E48" s="958"/>
      <c r="F48" s="959"/>
      <c r="G48" s="955" t="s">
        <v>76</v>
      </c>
      <c r="H48" s="956"/>
      <c r="I48" s="957"/>
      <c r="J48" s="960"/>
      <c r="K48" s="959"/>
    </row>
    <row r="49" spans="2:11" ht="19.5" customHeight="1">
      <c r="B49" s="961"/>
      <c r="C49" s="961"/>
      <c r="D49" s="962"/>
      <c r="E49" s="963"/>
      <c r="F49" s="964"/>
      <c r="G49" s="961"/>
      <c r="H49" s="961"/>
      <c r="I49" s="962"/>
      <c r="J49" s="963"/>
      <c r="K49" s="964"/>
    </row>
    <row r="50" spans="2:11" ht="12.75" customHeight="1">
      <c r="D50" s="965" t="s">
        <v>63</v>
      </c>
      <c r="I50" s="965" t="s">
        <v>64</v>
      </c>
    </row>
    <row r="51" spans="2:11" ht="12.75" customHeight="1">
      <c r="D51" s="967"/>
      <c r="E51" s="968" t="str">
        <f>M.Menu!S16</f>
        <v>CAPT. WENDT ROBERT</v>
      </c>
      <c r="F51" s="969"/>
      <c r="I51" s="967"/>
      <c r="J51" s="968" t="str">
        <f>E51</f>
        <v>CAPT. WENDT ROBERT</v>
      </c>
      <c r="K51" s="969"/>
    </row>
    <row r="52" spans="2:11" ht="12.75" customHeight="1">
      <c r="E52" s="970" t="s">
        <v>39</v>
      </c>
      <c r="F52" s="971"/>
      <c r="J52" s="970" t="s">
        <v>39</v>
      </c>
      <c r="K52" s="971"/>
    </row>
    <row r="53" spans="2:11" ht="12.75" customHeight="1"/>
    <row r="54" spans="2:11" ht="12.75" customHeight="1"/>
    <row r="55" spans="2:11" ht="12.75" customHeight="1"/>
    <row r="56" spans="2:11" ht="12.75" customHeight="1"/>
    <row r="57" spans="2:11" ht="12.75" customHeight="1"/>
    <row r="58" spans="2:11" ht="12.75" customHeight="1"/>
    <row r="59" spans="2:11" ht="12.75" customHeight="1"/>
    <row r="60" spans="2:11" ht="12.75" customHeight="1"/>
    <row r="61" spans="2:11" ht="12.75" customHeight="1"/>
    <row r="62" spans="2:11" ht="12.75" customHeight="1"/>
    <row r="63" spans="2:11" ht="12.75" customHeight="1"/>
    <row r="64" spans="2:11" ht="12.75" customHeight="1"/>
    <row r="65" ht="12.75" customHeight="1"/>
    <row r="66" ht="12.75" customHeight="1"/>
    <row r="67" ht="12.75" customHeight="1"/>
  </sheetData>
  <mergeCells count="20">
    <mergeCell ref="G2:K2"/>
    <mergeCell ref="G4:H4"/>
    <mergeCell ref="J4:K4"/>
    <mergeCell ref="G5:H5"/>
    <mergeCell ref="J5:K5"/>
    <mergeCell ref="J9:K9"/>
    <mergeCell ref="G6:H6"/>
    <mergeCell ref="J6:K6"/>
    <mergeCell ref="G7:H7"/>
    <mergeCell ref="J7:K7"/>
    <mergeCell ref="E7:F7"/>
    <mergeCell ref="B7:C7"/>
    <mergeCell ref="E9:F9"/>
    <mergeCell ref="B2:F2"/>
    <mergeCell ref="B4:C4"/>
    <mergeCell ref="B5:C5"/>
    <mergeCell ref="B6:C6"/>
    <mergeCell ref="E4:F4"/>
    <mergeCell ref="E6:F6"/>
    <mergeCell ref="E5:F5"/>
  </mergeCells>
  <phoneticPr fontId="0" type="noConversion"/>
  <printOptions horizontalCentered="1"/>
  <pageMargins left="0.39370078740157499" right="0.39370078740157499" top="0.94" bottom="0.63" header="0.511811023622047" footer="0.56000000000000005"/>
  <pageSetup paperSize="9" scale="78" orientation="portrait" verticalDpi="300" r:id="rId1"/>
  <headerFooter alignWithMargins="0"/>
  <colBreaks count="1" manualBreakCount="1">
    <brk id="6" min="1" max="44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9"/>
  <dimension ref="B1:F56"/>
  <sheetViews>
    <sheetView showGridLines="0" showZeros="0" view="pageBreakPreview" zoomScaleSheetLayoutView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I21" sqref="I21"/>
    </sheetView>
  </sheetViews>
  <sheetFormatPr defaultColWidth="11.42578125" defaultRowHeight="12.75"/>
  <cols>
    <col min="1" max="1" width="9.140625" style="1" customWidth="1"/>
    <col min="2" max="2" width="6.140625" style="3" customWidth="1"/>
    <col min="3" max="3" width="30.140625" style="3" customWidth="1"/>
    <col min="4" max="4" width="28.85546875" style="3" customWidth="1"/>
    <col min="5" max="5" width="17" style="100" customWidth="1"/>
    <col min="6" max="6" width="15.140625" style="3" customWidth="1"/>
    <col min="7" max="16384" width="11.42578125" style="1"/>
  </cols>
  <sheetData>
    <row r="1" spans="2:6" ht="39" customHeight="1">
      <c r="B1" s="1"/>
      <c r="C1" s="1"/>
      <c r="D1" s="1"/>
      <c r="E1" s="17"/>
      <c r="F1" s="1"/>
    </row>
    <row r="2" spans="2:6" ht="18.75" customHeight="1">
      <c r="B2" s="1498" t="s">
        <v>149</v>
      </c>
      <c r="C2" s="1499"/>
      <c r="D2" s="1499"/>
      <c r="E2" s="1499"/>
      <c r="F2" s="1499"/>
    </row>
    <row r="3" spans="2:6" ht="18.75" customHeight="1">
      <c r="B3" s="82"/>
      <c r="C3" s="82"/>
      <c r="D3" s="82"/>
      <c r="E3" s="98"/>
      <c r="F3" s="82"/>
    </row>
    <row r="4" spans="2:6" s="94" customFormat="1" ht="18.75" customHeight="1">
      <c r="B4" s="1500" t="s">
        <v>93</v>
      </c>
      <c r="C4" s="1501"/>
      <c r="D4" s="85" t="s">
        <v>94</v>
      </c>
      <c r="E4" s="1500" t="s">
        <v>95</v>
      </c>
      <c r="F4" s="1501"/>
    </row>
    <row r="5" spans="2:6" s="95" customFormat="1" ht="18.75" customHeight="1">
      <c r="B5" s="1502" t="str">
        <f>"  "&amp;M.Menu!E3</f>
        <v xml:space="preserve">  Energy Endurance</v>
      </c>
      <c r="C5" s="1503"/>
      <c r="D5" s="187">
        <f>M.Menu!L13</f>
        <v>46106</v>
      </c>
      <c r="E5" s="1492" t="str">
        <f>M.Menu!L11&amp;", "&amp;M.Menu!L12</f>
        <v>Sabine Pass, U.S.A.</v>
      </c>
      <c r="F5" s="1493"/>
    </row>
    <row r="6" spans="2:6" s="94" customFormat="1" ht="18.75" customHeight="1">
      <c r="B6" s="1500" t="s">
        <v>49</v>
      </c>
      <c r="C6" s="1501"/>
      <c r="D6" s="85" t="s">
        <v>132</v>
      </c>
      <c r="E6" s="1500" t="s">
        <v>137</v>
      </c>
      <c r="F6" s="1501"/>
    </row>
    <row r="7" spans="2:6" s="95" customFormat="1" ht="18.75" customHeight="1">
      <c r="B7" s="1494" t="str">
        <f>"  "&amp;M.Menu!L8</f>
        <v xml:space="preserve">  Marshall Islands</v>
      </c>
      <c r="C7" s="1495"/>
      <c r="D7" s="92" t="str">
        <f>M.Menu!E4</f>
        <v>V7A7282</v>
      </c>
      <c r="E7" s="1492" t="str">
        <f>M.Menu!E11&amp;", "&amp;M.Menu!E12</f>
        <v>BARCARENA, BRAZIL</v>
      </c>
      <c r="F7" s="1493"/>
    </row>
    <row r="8" spans="2:6" ht="18.75" customHeight="1">
      <c r="B8" s="86"/>
      <c r="C8" s="86"/>
      <c r="D8" s="87"/>
      <c r="E8" s="99"/>
      <c r="F8" s="89"/>
    </row>
    <row r="9" spans="2:6" s="94" customFormat="1" ht="18.75" customHeight="1">
      <c r="B9" s="93" t="s">
        <v>44</v>
      </c>
      <c r="C9" s="96" t="s">
        <v>4</v>
      </c>
      <c r="D9" s="96"/>
      <c r="E9" s="1496" t="s">
        <v>123</v>
      </c>
      <c r="F9" s="1497"/>
    </row>
    <row r="10" spans="2:6" s="94" customFormat="1" ht="18.75" customHeight="1">
      <c r="B10" s="90"/>
      <c r="C10" s="84"/>
      <c r="D10" s="84"/>
      <c r="E10" s="110"/>
      <c r="F10" s="91"/>
    </row>
    <row r="11" spans="2:6" s="2" customFormat="1" ht="19.5" customHeight="1">
      <c r="B11" s="103"/>
      <c r="C11" s="104"/>
      <c r="D11" s="104"/>
      <c r="E11" s="111"/>
      <c r="F11" s="105"/>
    </row>
    <row r="12" spans="2:6" s="2" customFormat="1" ht="19.5" customHeight="1">
      <c r="B12" s="106"/>
      <c r="C12" s="34"/>
      <c r="D12" s="35"/>
      <c r="E12" s="112"/>
      <c r="F12" s="107"/>
    </row>
    <row r="13" spans="2:6" s="2" customFormat="1" ht="19.5" customHeight="1">
      <c r="B13" s="106"/>
      <c r="C13" s="34"/>
      <c r="D13" s="35"/>
      <c r="E13" s="112"/>
      <c r="F13" s="107"/>
    </row>
    <row r="14" spans="2:6" s="2" customFormat="1" ht="19.5" customHeight="1">
      <c r="B14" s="106"/>
      <c r="C14" s="34"/>
      <c r="D14" s="35"/>
      <c r="E14" s="112"/>
      <c r="F14" s="107"/>
    </row>
    <row r="15" spans="2:6" s="2" customFormat="1" ht="19.5" customHeight="1">
      <c r="B15" s="106"/>
      <c r="C15" s="34"/>
      <c r="D15" s="35"/>
      <c r="E15" s="112"/>
      <c r="F15" s="107"/>
    </row>
    <row r="16" spans="2:6" s="2" customFormat="1" ht="19.5" customHeight="1">
      <c r="B16" s="106"/>
      <c r="C16" s="34"/>
      <c r="D16" s="35"/>
      <c r="E16" s="112"/>
      <c r="F16" s="107"/>
    </row>
    <row r="17" spans="2:6" s="2" customFormat="1" ht="19.5" customHeight="1">
      <c r="B17" s="106"/>
      <c r="C17" s="34"/>
      <c r="D17" s="35"/>
      <c r="E17" s="112"/>
      <c r="F17" s="107"/>
    </row>
    <row r="18" spans="2:6" s="2" customFormat="1" ht="19.5" customHeight="1">
      <c r="B18" s="33"/>
      <c r="C18" s="34"/>
      <c r="D18" s="35"/>
      <c r="E18" s="112"/>
      <c r="F18" s="107"/>
    </row>
    <row r="19" spans="2:6" s="2" customFormat="1" ht="19.5" customHeight="1">
      <c r="B19" s="33"/>
      <c r="C19" s="34"/>
      <c r="D19" s="35"/>
      <c r="E19" s="112"/>
      <c r="F19" s="107"/>
    </row>
    <row r="20" spans="2:6" s="2" customFormat="1" ht="19.5" customHeight="1">
      <c r="B20" s="106"/>
      <c r="C20" s="34"/>
      <c r="D20" s="35"/>
      <c r="E20" s="112"/>
      <c r="F20" s="107"/>
    </row>
    <row r="21" spans="2:6" s="2" customFormat="1" ht="19.5" customHeight="1">
      <c r="B21" s="106"/>
      <c r="C21" s="34"/>
      <c r="D21" s="35"/>
      <c r="E21" s="113"/>
      <c r="F21" s="107"/>
    </row>
    <row r="22" spans="2:6" s="2" customFormat="1" ht="19.5" customHeight="1">
      <c r="B22" s="106"/>
      <c r="C22" s="32"/>
      <c r="D22" s="35"/>
      <c r="E22" s="113"/>
      <c r="F22" s="107"/>
    </row>
    <row r="23" spans="2:6" s="2" customFormat="1" ht="19.5" customHeight="1">
      <c r="B23" s="106"/>
      <c r="C23" s="34"/>
      <c r="D23" s="35"/>
      <c r="E23" s="113"/>
      <c r="F23" s="107"/>
    </row>
    <row r="24" spans="2:6" s="2" customFormat="1" ht="19.5" customHeight="1">
      <c r="B24" s="106"/>
      <c r="C24" s="34"/>
      <c r="D24" s="35"/>
      <c r="E24" s="113"/>
      <c r="F24" s="107"/>
    </row>
    <row r="25" spans="2:6" s="2" customFormat="1" ht="19.5" customHeight="1">
      <c r="B25" s="106"/>
      <c r="C25" s="34"/>
      <c r="D25" s="35"/>
      <c r="E25" s="113"/>
      <c r="F25" s="107"/>
    </row>
    <row r="26" spans="2:6" s="2" customFormat="1" ht="19.5" customHeight="1">
      <c r="B26" s="106"/>
      <c r="C26" s="32"/>
      <c r="D26" s="35"/>
      <c r="E26" s="113"/>
      <c r="F26" s="107"/>
    </row>
    <row r="27" spans="2:6" s="2" customFormat="1" ht="19.5" customHeight="1">
      <c r="B27" s="106"/>
      <c r="C27" s="32"/>
      <c r="D27" s="35"/>
      <c r="E27" s="113"/>
      <c r="F27" s="107"/>
    </row>
    <row r="28" spans="2:6" s="2" customFormat="1" ht="19.5" customHeight="1">
      <c r="B28" s="106"/>
      <c r="C28" s="32"/>
      <c r="D28" s="35"/>
      <c r="E28" s="113"/>
      <c r="F28" s="107"/>
    </row>
    <row r="29" spans="2:6" s="2" customFormat="1" ht="19.5" customHeight="1">
      <c r="B29" s="106"/>
      <c r="C29" s="32"/>
      <c r="D29" s="35"/>
      <c r="E29" s="113"/>
      <c r="F29" s="107"/>
    </row>
    <row r="30" spans="2:6" s="2" customFormat="1" ht="19.5" customHeight="1">
      <c r="B30" s="106"/>
      <c r="C30" s="32"/>
      <c r="D30" s="35"/>
      <c r="E30" s="113"/>
      <c r="F30" s="107"/>
    </row>
    <row r="31" spans="2:6" s="2" customFormat="1" ht="19.5" customHeight="1">
      <c r="B31" s="106"/>
      <c r="C31" s="32"/>
      <c r="D31" s="35"/>
      <c r="E31" s="113"/>
      <c r="F31" s="107"/>
    </row>
    <row r="32" spans="2:6" s="2" customFormat="1" ht="19.5" customHeight="1">
      <c r="B32" s="106"/>
      <c r="C32" s="32"/>
      <c r="D32" s="35"/>
      <c r="E32" s="113"/>
      <c r="F32" s="107"/>
    </row>
    <row r="33" spans="2:6" s="2" customFormat="1" ht="19.5" customHeight="1">
      <c r="B33" s="106"/>
      <c r="C33" s="32"/>
      <c r="D33" s="35"/>
      <c r="E33" s="113"/>
      <c r="F33" s="107"/>
    </row>
    <row r="34" spans="2:6" s="2" customFormat="1" ht="19.5" customHeight="1">
      <c r="B34" s="106"/>
      <c r="C34" s="34"/>
      <c r="D34" s="35"/>
      <c r="E34" s="113"/>
      <c r="F34" s="107"/>
    </row>
    <row r="35" spans="2:6" s="2" customFormat="1" ht="19.5" customHeight="1">
      <c r="B35" s="106"/>
      <c r="C35" s="34"/>
      <c r="D35" s="35"/>
      <c r="E35" s="113"/>
      <c r="F35" s="107"/>
    </row>
    <row r="36" spans="2:6" ht="19.5" customHeight="1">
      <c r="B36" s="109"/>
      <c r="C36" s="23"/>
      <c r="D36" s="24"/>
      <c r="E36" s="115"/>
      <c r="F36" s="97"/>
    </row>
    <row r="37" spans="2:6" ht="19.5" customHeight="1">
      <c r="B37" s="186"/>
      <c r="C37" s="182"/>
      <c r="D37" s="181"/>
      <c r="E37" s="184"/>
      <c r="F37" s="185"/>
    </row>
    <row r="38" spans="2:6" ht="19.5" customHeight="1">
      <c r="B38" s="4"/>
      <c r="C38" s="4"/>
      <c r="D38" s="5"/>
      <c r="E38" s="20"/>
      <c r="F38" s="7"/>
    </row>
    <row r="39" spans="2:6" ht="12.75" customHeight="1"/>
    <row r="40" spans="2:6" ht="18" customHeight="1">
      <c r="D40" s="8"/>
      <c r="E40" s="101" t="str">
        <f>M.Menu!S16</f>
        <v>CAPT. WENDT ROBERT</v>
      </c>
      <c r="F40" s="83"/>
    </row>
    <row r="41" spans="2:6" ht="12.75" customHeight="1">
      <c r="E41" s="102" t="s">
        <v>39</v>
      </c>
      <c r="F41" s="37"/>
    </row>
    <row r="42" spans="2:6" ht="12.75" customHeight="1"/>
    <row r="43" spans="2:6" ht="12.75" customHeight="1"/>
    <row r="44" spans="2:6" ht="12.75" customHeight="1"/>
    <row r="45" spans="2:6" ht="12.75" customHeight="1"/>
    <row r="46" spans="2:6" ht="12.75" customHeight="1"/>
    <row r="47" spans="2:6" ht="12.75" customHeight="1"/>
    <row r="48" spans="2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</sheetData>
  <mergeCells count="10">
    <mergeCell ref="E7:F7"/>
    <mergeCell ref="B7:C7"/>
    <mergeCell ref="E9:F9"/>
    <mergeCell ref="B2:F2"/>
    <mergeCell ref="B4:C4"/>
    <mergeCell ref="B5:C5"/>
    <mergeCell ref="B6:C6"/>
    <mergeCell ref="E4:F4"/>
    <mergeCell ref="E6:F6"/>
    <mergeCell ref="E5:F5"/>
  </mergeCells>
  <phoneticPr fontId="0" type="noConversion"/>
  <printOptions horizontalCentered="1"/>
  <pageMargins left="0.39370078740157499" right="0.39370078740157499" top="0.94" bottom="0.63" header="0.511811023622047" footer="0.56000000000000005"/>
  <pageSetup paperSize="9" scale="90" orientation="portrait" horizontalDpi="4294967295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3"/>
  <dimension ref="B1:S28"/>
  <sheetViews>
    <sheetView showGridLines="0" showZeros="0" zoomScaleNormal="100" zoomScaleSheetLayoutView="75" workbookViewId="0">
      <pane xSplit="18" ySplit="1" topLeftCell="W3" activePane="bottomRight" state="frozen"/>
      <selection pane="topRight" activeCell="U1" sqref="U1"/>
      <selection pane="bottomLeft" activeCell="A2" sqref="A2"/>
      <selection pane="bottomRight" activeCell="M28" sqref="M28"/>
    </sheetView>
  </sheetViews>
  <sheetFormatPr defaultColWidth="9.140625" defaultRowHeight="12.75"/>
  <cols>
    <col min="1" max="1" width="2.85546875" style="9" customWidth="1"/>
    <col min="2" max="2" width="5.85546875" style="9" customWidth="1"/>
    <col min="3" max="3" width="13" style="9" customWidth="1"/>
    <col min="4" max="4" width="5" style="10" customWidth="1"/>
    <col min="5" max="5" width="14.85546875" style="10" customWidth="1"/>
    <col min="6" max="6" width="14.5703125" style="10" customWidth="1"/>
    <col min="7" max="7" width="2" style="10" customWidth="1"/>
    <col min="8" max="9" width="20.85546875" style="10" customWidth="1"/>
    <col min="10" max="10" width="20.140625" style="10" customWidth="1"/>
    <col min="11" max="11" width="18.42578125" style="10" customWidth="1"/>
    <col min="12" max="12" width="10.28515625" style="10" customWidth="1"/>
    <col min="13" max="13" width="6.140625" style="10" customWidth="1"/>
    <col min="14" max="14" width="9" style="10" customWidth="1"/>
    <col min="15" max="16" width="16.140625" style="9" customWidth="1"/>
    <col min="17" max="17" width="28.140625" style="9" customWidth="1"/>
    <col min="18" max="18" width="11.28515625" style="9" hidden="1" customWidth="1"/>
    <col min="19" max="19" width="5.140625" style="9" hidden="1" customWidth="1"/>
    <col min="20" max="16384" width="9.140625" style="9"/>
  </cols>
  <sheetData>
    <row r="1" spans="2:19" s="25" customFormat="1" ht="27" customHeight="1">
      <c r="C1" s="25" t="s">
        <v>143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2:19" s="25" customFormat="1" ht="27" customHeight="1">
      <c r="C2" s="1507" t="s">
        <v>268</v>
      </c>
      <c r="D2" s="1507"/>
      <c r="E2" s="1507"/>
      <c r="F2" s="1507"/>
      <c r="G2" s="1507"/>
      <c r="H2" s="1507"/>
      <c r="I2" s="1507"/>
      <c r="J2" s="1507"/>
      <c r="K2" s="1507"/>
      <c r="L2" s="1507"/>
      <c r="M2" s="1507"/>
      <c r="N2" s="1507"/>
      <c r="O2" s="1507"/>
      <c r="P2" s="1507"/>
      <c r="Q2" s="259"/>
      <c r="R2" s="209"/>
    </row>
    <row r="3" spans="2:19" s="25" customFormat="1" ht="12.75" customHeight="1">
      <c r="C3" s="1525" t="s">
        <v>269</v>
      </c>
      <c r="D3" s="1525"/>
      <c r="E3" s="1525"/>
      <c r="F3" s="1525"/>
      <c r="G3" s="1525"/>
      <c r="H3" s="1525"/>
      <c r="I3" s="1525"/>
      <c r="J3" s="1525"/>
      <c r="K3" s="1525"/>
      <c r="L3" s="1525"/>
      <c r="M3" s="1525"/>
      <c r="N3" s="1525"/>
      <c r="O3" s="1525"/>
      <c r="P3" s="1525"/>
      <c r="Q3" s="260"/>
    </row>
    <row r="4" spans="2:19" s="38" customFormat="1" ht="13.5" customHeight="1">
      <c r="C4" s="1523" t="s">
        <v>391</v>
      </c>
      <c r="D4" s="1523"/>
      <c r="E4" s="1523"/>
      <c r="F4" s="1523"/>
      <c r="G4" s="1523"/>
      <c r="H4" s="1523"/>
      <c r="I4" s="1523"/>
      <c r="J4" s="1523"/>
      <c r="K4" s="1523"/>
      <c r="L4" s="1523"/>
      <c r="M4" s="1523"/>
      <c r="N4" s="1523"/>
      <c r="O4" s="1523"/>
      <c r="P4" s="1524"/>
      <c r="Q4" s="1510" t="s">
        <v>282</v>
      </c>
      <c r="R4" s="261"/>
    </row>
    <row r="5" spans="2:19" s="38" customFormat="1" ht="12.75" customHeight="1">
      <c r="C5" s="118"/>
      <c r="D5" s="108"/>
      <c r="E5" s="108"/>
      <c r="F5" s="108"/>
      <c r="G5" s="108"/>
      <c r="H5" s="108"/>
      <c r="I5" s="108"/>
      <c r="J5" s="108"/>
      <c r="K5" s="108"/>
      <c r="L5" s="45"/>
      <c r="M5" s="119"/>
      <c r="N5" s="119"/>
      <c r="Q5" s="1511"/>
      <c r="R5" s="261"/>
    </row>
    <row r="6" spans="2:19" s="39" customFormat="1" ht="24.75" customHeight="1">
      <c r="B6" s="253"/>
      <c r="C6" s="1517" t="s">
        <v>387</v>
      </c>
      <c r="D6" s="1518"/>
      <c r="E6" s="1518"/>
      <c r="F6" s="1519" t="str">
        <f>M.Menu!E3</f>
        <v>Energy Endurance</v>
      </c>
      <c r="G6" s="1519"/>
      <c r="H6" s="1520"/>
      <c r="I6" s="255" t="s">
        <v>384</v>
      </c>
      <c r="J6" s="1512">
        <f>M.Menu!L3</f>
        <v>9948695</v>
      </c>
      <c r="K6" s="1513"/>
      <c r="L6" s="1514" t="s">
        <v>388</v>
      </c>
      <c r="M6" s="1515"/>
      <c r="N6" s="1515"/>
      <c r="O6" s="1516" t="str">
        <f>M.Menu!E4</f>
        <v>V7A7282</v>
      </c>
      <c r="P6" s="1513"/>
      <c r="Q6" s="1508"/>
      <c r="R6" s="1509"/>
      <c r="S6" s="183"/>
    </row>
    <row r="7" spans="2:19" s="39" customFormat="1" ht="24.75" customHeight="1">
      <c r="B7" s="253"/>
      <c r="C7" s="1517" t="s">
        <v>385</v>
      </c>
      <c r="D7" s="1518"/>
      <c r="E7" s="1518"/>
      <c r="F7" s="1512" t="str">
        <f>M.Menu!S13</f>
        <v>VOY16</v>
      </c>
      <c r="G7" s="1519"/>
      <c r="H7" s="1520"/>
      <c r="I7" s="256" t="s">
        <v>386</v>
      </c>
      <c r="J7" s="1512" t="str">
        <f>M.Menu!L8</f>
        <v>Marshall Islands</v>
      </c>
      <c r="K7" s="1513"/>
      <c r="L7" s="1514" t="s">
        <v>389</v>
      </c>
      <c r="M7" s="1515"/>
      <c r="N7" s="1515"/>
      <c r="O7" s="1516" t="s">
        <v>236</v>
      </c>
      <c r="P7" s="1513"/>
      <c r="Q7" s="1535"/>
      <c r="R7" s="1536"/>
      <c r="S7" s="1533"/>
    </row>
    <row r="8" spans="2:19" s="39" customFormat="1" ht="24.75" hidden="1" customHeight="1">
      <c r="B8" s="254"/>
      <c r="C8" s="252"/>
      <c r="D8" s="250"/>
      <c r="E8" s="250"/>
      <c r="F8" s="250"/>
      <c r="G8" s="250"/>
      <c r="H8" s="251"/>
      <c r="I8" s="1537"/>
      <c r="J8" s="1538"/>
      <c r="K8" s="1539"/>
      <c r="L8" s="1540"/>
      <c r="M8" s="1541"/>
      <c r="N8" s="1541"/>
      <c r="O8" s="1541"/>
      <c r="P8" s="1542"/>
      <c r="Q8" s="1540"/>
      <c r="R8" s="1542"/>
      <c r="S8" s="1533"/>
    </row>
    <row r="9" spans="2:19" s="39" customFormat="1" ht="9" customHeight="1">
      <c r="C9" s="120"/>
      <c r="D9" s="40"/>
      <c r="E9" s="40"/>
      <c r="F9" s="40"/>
      <c r="G9" s="40"/>
      <c r="H9" s="60"/>
      <c r="I9" s="60"/>
      <c r="J9" s="60"/>
      <c r="K9" s="121"/>
      <c r="L9" s="41"/>
      <c r="M9" s="41"/>
      <c r="N9" s="41"/>
    </row>
    <row r="10" spans="2:19" s="122" customFormat="1" ht="87" customHeight="1">
      <c r="C10" s="123" t="s">
        <v>270</v>
      </c>
      <c r="D10" s="1530" t="s">
        <v>271</v>
      </c>
      <c r="E10" s="1531"/>
      <c r="F10" s="1531"/>
      <c r="G10" s="1532"/>
      <c r="H10" s="210" t="s">
        <v>272</v>
      </c>
      <c r="I10" s="212" t="s">
        <v>265</v>
      </c>
      <c r="J10" s="213" t="s">
        <v>273</v>
      </c>
      <c r="K10" s="211" t="s">
        <v>274</v>
      </c>
      <c r="L10" s="211" t="s">
        <v>275</v>
      </c>
      <c r="M10" s="1543" t="s">
        <v>276</v>
      </c>
      <c r="N10" s="1544"/>
      <c r="O10" s="214" t="s">
        <v>277</v>
      </c>
      <c r="P10" s="214" t="s">
        <v>278</v>
      </c>
      <c r="Q10" s="214" t="s">
        <v>279</v>
      </c>
    </row>
    <row r="11" spans="2:19" ht="18" customHeight="1">
      <c r="C11" s="222" t="s">
        <v>288</v>
      </c>
      <c r="D11" s="1504" t="s">
        <v>289</v>
      </c>
      <c r="E11" s="1505"/>
      <c r="F11" s="1505"/>
      <c r="G11" s="1506"/>
      <c r="H11" s="221"/>
      <c r="I11" s="221">
        <v>1972</v>
      </c>
      <c r="J11" s="221" t="s">
        <v>237</v>
      </c>
      <c r="K11" s="221" t="s">
        <v>290</v>
      </c>
      <c r="L11" s="218" t="s">
        <v>115</v>
      </c>
      <c r="M11" s="1521">
        <v>-188</v>
      </c>
      <c r="N11" s="1522"/>
      <c r="O11" s="288" t="s">
        <v>473</v>
      </c>
      <c r="P11" s="287" t="s">
        <v>477</v>
      </c>
      <c r="Q11" s="218"/>
    </row>
    <row r="12" spans="2:19" ht="18">
      <c r="C12" s="215"/>
      <c r="D12" s="1504"/>
      <c r="E12" s="1505"/>
      <c r="F12" s="1505"/>
      <c r="G12" s="1506"/>
      <c r="H12" s="216"/>
      <c r="I12" s="216"/>
      <c r="J12" s="216"/>
      <c r="K12" s="216"/>
      <c r="L12" s="216"/>
      <c r="M12" s="1504"/>
      <c r="N12" s="1506"/>
      <c r="O12" s="217"/>
      <c r="P12" s="217"/>
      <c r="Q12" s="217"/>
    </row>
    <row r="13" spans="2:19" ht="18">
      <c r="C13" s="215"/>
      <c r="D13" s="1504"/>
      <c r="E13" s="1505"/>
      <c r="F13" s="1505"/>
      <c r="G13" s="1506"/>
      <c r="H13" s="216"/>
      <c r="I13" s="216"/>
      <c r="J13" s="216"/>
      <c r="K13" s="216"/>
      <c r="L13" s="216"/>
      <c r="M13" s="1504"/>
      <c r="N13" s="1506"/>
      <c r="O13" s="217"/>
      <c r="P13" s="217"/>
      <c r="Q13" s="217"/>
    </row>
    <row r="14" spans="2:19" ht="18">
      <c r="C14" s="215"/>
      <c r="D14" s="1504"/>
      <c r="E14" s="1505"/>
      <c r="F14" s="1505"/>
      <c r="G14" s="1506"/>
      <c r="H14" s="216"/>
      <c r="I14" s="216"/>
      <c r="J14" s="216"/>
      <c r="K14" s="216"/>
      <c r="L14" s="216"/>
      <c r="M14" s="1504"/>
      <c r="N14" s="1506"/>
      <c r="O14" s="217"/>
      <c r="P14" s="217"/>
      <c r="Q14" s="217"/>
    </row>
    <row r="15" spans="2:19" ht="18">
      <c r="C15" s="215"/>
      <c r="D15" s="1504"/>
      <c r="E15" s="1505"/>
      <c r="F15" s="1505"/>
      <c r="G15" s="1506"/>
      <c r="H15" s="216"/>
      <c r="I15" s="216"/>
      <c r="J15" s="216"/>
      <c r="K15" s="216"/>
      <c r="L15" s="216"/>
      <c r="M15" s="1504"/>
      <c r="N15" s="1506"/>
      <c r="O15" s="217"/>
      <c r="P15" s="217"/>
      <c r="Q15" s="217"/>
    </row>
    <row r="16" spans="2:19" ht="18">
      <c r="C16" s="215"/>
      <c r="D16" s="1504"/>
      <c r="E16" s="1505"/>
      <c r="F16" s="1505"/>
      <c r="G16" s="1506"/>
      <c r="H16" s="216"/>
      <c r="I16" s="216"/>
      <c r="J16" s="216"/>
      <c r="K16" s="216"/>
      <c r="L16" s="216"/>
      <c r="M16" s="1504"/>
      <c r="N16" s="1506"/>
      <c r="O16" s="217"/>
      <c r="P16" s="217"/>
      <c r="Q16" s="217"/>
    </row>
    <row r="17" spans="2:17" ht="18">
      <c r="C17" s="215"/>
      <c r="D17" s="1504"/>
      <c r="E17" s="1505"/>
      <c r="F17" s="1505"/>
      <c r="G17" s="1506"/>
      <c r="H17" s="216"/>
      <c r="I17" s="216"/>
      <c r="J17" s="216"/>
      <c r="K17" s="216"/>
      <c r="L17" s="216"/>
      <c r="M17" s="1504"/>
      <c r="N17" s="1506"/>
      <c r="O17" s="217"/>
      <c r="P17" s="217"/>
      <c r="Q17" s="217"/>
    </row>
    <row r="18" spans="2:17" ht="18">
      <c r="C18" s="215"/>
      <c r="D18" s="1504"/>
      <c r="E18" s="1505"/>
      <c r="F18" s="1505"/>
      <c r="G18" s="1506"/>
      <c r="H18" s="216"/>
      <c r="I18" s="216"/>
      <c r="J18" s="216"/>
      <c r="K18" s="216"/>
      <c r="L18" s="216"/>
      <c r="M18" s="1504"/>
      <c r="N18" s="1506"/>
      <c r="O18" s="217"/>
      <c r="P18" s="217"/>
      <c r="Q18" s="217"/>
    </row>
    <row r="19" spans="2:17" ht="18">
      <c r="C19" s="215"/>
      <c r="D19" s="1504"/>
      <c r="E19" s="1505"/>
      <c r="F19" s="1505"/>
      <c r="G19" s="1506"/>
      <c r="H19" s="216"/>
      <c r="I19" s="216"/>
      <c r="J19" s="216"/>
      <c r="K19" s="216"/>
      <c r="L19" s="216"/>
      <c r="M19" s="1504"/>
      <c r="N19" s="1506"/>
      <c r="O19" s="217"/>
      <c r="P19" s="217"/>
      <c r="Q19" s="217"/>
    </row>
    <row r="20" spans="2:17" ht="19.5" customHeight="1">
      <c r="C20" s="215"/>
      <c r="D20" s="1504"/>
      <c r="E20" s="1505"/>
      <c r="F20" s="1505"/>
      <c r="G20" s="1506"/>
      <c r="H20" s="216"/>
      <c r="I20" s="216"/>
      <c r="J20" s="219"/>
      <c r="K20" s="219"/>
      <c r="L20" s="219"/>
      <c r="M20" s="1504"/>
      <c r="N20" s="1506"/>
      <c r="O20" s="217"/>
      <c r="P20" s="217"/>
      <c r="Q20" s="217"/>
    </row>
    <row r="21" spans="2:17" ht="18">
      <c r="C21" s="215"/>
      <c r="D21" s="1504"/>
      <c r="E21" s="1505"/>
      <c r="F21" s="1505"/>
      <c r="G21" s="1506"/>
      <c r="H21" s="216"/>
      <c r="I21" s="216"/>
      <c r="J21" s="216"/>
      <c r="K21" s="216"/>
      <c r="L21" s="216"/>
      <c r="M21" s="1504"/>
      <c r="N21" s="1506"/>
      <c r="O21" s="217"/>
      <c r="P21" s="217"/>
      <c r="Q21" s="217"/>
    </row>
    <row r="22" spans="2:17" ht="18">
      <c r="C22" s="215"/>
      <c r="D22" s="1504"/>
      <c r="E22" s="1505"/>
      <c r="F22" s="1505"/>
      <c r="G22" s="1506"/>
      <c r="H22" s="216"/>
      <c r="I22" s="216"/>
      <c r="J22" s="216"/>
      <c r="K22" s="216"/>
      <c r="L22" s="216"/>
      <c r="M22" s="1504"/>
      <c r="N22" s="1506"/>
      <c r="O22" s="217"/>
      <c r="P22" s="217"/>
      <c r="Q22" s="217"/>
    </row>
    <row r="23" spans="2:17" ht="18">
      <c r="C23" s="215"/>
      <c r="D23" s="1504"/>
      <c r="E23" s="1505"/>
      <c r="F23" s="1505"/>
      <c r="G23" s="1506"/>
      <c r="H23" s="216"/>
      <c r="I23" s="216"/>
      <c r="J23" s="216"/>
      <c r="K23" s="216"/>
      <c r="L23" s="216"/>
      <c r="M23" s="1504"/>
      <c r="N23" s="1506"/>
      <c r="O23" s="217"/>
      <c r="P23" s="217"/>
      <c r="Q23" s="217"/>
    </row>
    <row r="24" spans="2:17" ht="18">
      <c r="C24" s="215"/>
      <c r="D24" s="1504"/>
      <c r="E24" s="1505"/>
      <c r="F24" s="1505"/>
      <c r="G24" s="1506"/>
      <c r="H24" s="216"/>
      <c r="I24" s="216"/>
      <c r="J24" s="216"/>
      <c r="K24" s="216"/>
      <c r="L24" s="216"/>
      <c r="M24" s="1504"/>
      <c r="N24" s="1506"/>
      <c r="O24" s="217"/>
      <c r="P24" s="217"/>
      <c r="Q24" s="217"/>
    </row>
    <row r="26" spans="2:17" ht="24.75" customHeight="1">
      <c r="C26" s="257" t="s">
        <v>280</v>
      </c>
      <c r="G26" s="1529"/>
      <c r="H26" s="1529"/>
      <c r="I26" s="1529"/>
      <c r="K26" s="257" t="s">
        <v>62</v>
      </c>
      <c r="N26" s="1526" t="str">
        <f>M.Menu!S16</f>
        <v>CAPT. WENDT ROBERT</v>
      </c>
      <c r="O26" s="1527"/>
      <c r="P26" s="1527"/>
      <c r="Q26" s="1527"/>
    </row>
    <row r="27" spans="2:17" ht="24.75" customHeight="1">
      <c r="C27" s="257" t="s">
        <v>281</v>
      </c>
      <c r="F27" s="1534"/>
      <c r="G27" s="1534"/>
      <c r="H27" s="1534"/>
      <c r="I27" s="1534"/>
      <c r="K27" s="124"/>
      <c r="N27" s="1528"/>
      <c r="O27" s="1528"/>
      <c r="P27" s="1528"/>
      <c r="Q27" s="1528"/>
    </row>
    <row r="28" spans="2:17" ht="24.75" customHeight="1">
      <c r="B28" s="125"/>
      <c r="C28" s="258" t="s">
        <v>283</v>
      </c>
    </row>
  </sheetData>
  <mergeCells count="54">
    <mergeCell ref="N27:Q27"/>
    <mergeCell ref="G26:I26"/>
    <mergeCell ref="D10:G10"/>
    <mergeCell ref="S7:S8"/>
    <mergeCell ref="F27:I27"/>
    <mergeCell ref="Q7:R7"/>
    <mergeCell ref="I8:K8"/>
    <mergeCell ref="L8:P8"/>
    <mergeCell ref="Q8:R8"/>
    <mergeCell ref="D11:G11"/>
    <mergeCell ref="D12:G12"/>
    <mergeCell ref="D14:G14"/>
    <mergeCell ref="J7:K7"/>
    <mergeCell ref="D13:G13"/>
    <mergeCell ref="D15:G15"/>
    <mergeCell ref="M10:N10"/>
    <mergeCell ref="N26:Q26"/>
    <mergeCell ref="M23:N23"/>
    <mergeCell ref="M24:N24"/>
    <mergeCell ref="M14:N14"/>
    <mergeCell ref="M15:N15"/>
    <mergeCell ref="M11:N11"/>
    <mergeCell ref="M12:N12"/>
    <mergeCell ref="M13:N13"/>
    <mergeCell ref="C4:P4"/>
    <mergeCell ref="C3:P3"/>
    <mergeCell ref="L7:N7"/>
    <mergeCell ref="C7:E7"/>
    <mergeCell ref="F7:H7"/>
    <mergeCell ref="O7:P7"/>
    <mergeCell ref="C2:P2"/>
    <mergeCell ref="Q6:R6"/>
    <mergeCell ref="Q4:Q5"/>
    <mergeCell ref="J6:K6"/>
    <mergeCell ref="L6:N6"/>
    <mergeCell ref="O6:P6"/>
    <mergeCell ref="C6:E6"/>
    <mergeCell ref="F6:H6"/>
    <mergeCell ref="D24:G24"/>
    <mergeCell ref="M16:N16"/>
    <mergeCell ref="M17:N17"/>
    <mergeCell ref="M18:N18"/>
    <mergeCell ref="M19:N19"/>
    <mergeCell ref="M20:N20"/>
    <mergeCell ref="D20:G20"/>
    <mergeCell ref="D21:G21"/>
    <mergeCell ref="D22:G22"/>
    <mergeCell ref="M21:N21"/>
    <mergeCell ref="M22:N22"/>
    <mergeCell ref="D16:G16"/>
    <mergeCell ref="D17:G17"/>
    <mergeCell ref="D18:G18"/>
    <mergeCell ref="D19:G19"/>
    <mergeCell ref="D23:G23"/>
  </mergeCells>
  <phoneticPr fontId="23" type="noConversion"/>
  <printOptions horizontalCentered="1"/>
  <pageMargins left="0.27559055118110237" right="0.19685039370078741" top="0.43307086614173229" bottom="0.23622047244094491" header="7.874015748031496E-2" footer="0"/>
  <pageSetup paperSize="9" scale="64" orientation="landscape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7">
    <tabColor rgb="FFC00000"/>
  </sheetPr>
  <dimension ref="A1:N41"/>
  <sheetViews>
    <sheetView zoomScale="85" zoomScaleNormal="85" workbookViewId="0">
      <selection activeCell="I5" sqref="I5"/>
    </sheetView>
  </sheetViews>
  <sheetFormatPr defaultColWidth="9.140625" defaultRowHeight="15"/>
  <cols>
    <col min="1" max="1" width="4.85546875" style="235" customWidth="1"/>
    <col min="2" max="2" width="25.42578125" style="235" customWidth="1"/>
    <col min="3" max="3" width="27.28515625" style="235" customWidth="1"/>
    <col min="4" max="4" width="13.7109375" style="235" customWidth="1"/>
    <col min="5" max="5" width="13.28515625" style="235" customWidth="1"/>
    <col min="6" max="6" width="12" style="235" customWidth="1"/>
    <col min="7" max="7" width="21.28515625" style="235" customWidth="1"/>
    <col min="8" max="8" width="20.5703125" style="235" customWidth="1"/>
    <col min="9" max="9" width="16" style="235" customWidth="1"/>
    <col min="10" max="16384" width="9.140625" style="235"/>
  </cols>
  <sheetData>
    <row r="1" spans="1:14">
      <c r="A1" s="1545" t="s">
        <v>370</v>
      </c>
      <c r="B1" s="1546"/>
      <c r="C1" s="1546"/>
      <c r="D1" s="1546"/>
      <c r="E1" s="1546"/>
      <c r="F1" s="1546"/>
      <c r="G1" s="1546"/>
      <c r="H1" s="1546"/>
      <c r="I1" s="1547"/>
    </row>
    <row r="2" spans="1:14">
      <c r="A2" s="1548"/>
      <c r="B2" s="1549"/>
      <c r="C2" s="1549"/>
      <c r="D2" s="1549"/>
      <c r="E2" s="1549"/>
      <c r="F2" s="1549"/>
      <c r="G2" s="1549"/>
      <c r="H2" s="1549"/>
      <c r="I2" s="1550"/>
    </row>
    <row r="3" spans="1:14" ht="29.25" thickBot="1">
      <c r="A3" s="1551" t="s">
        <v>371</v>
      </c>
      <c r="B3" s="1552"/>
      <c r="C3" s="1552"/>
      <c r="D3" s="1552"/>
      <c r="E3" s="1552"/>
      <c r="F3" s="1552"/>
      <c r="G3" s="1552"/>
      <c r="H3" s="1552"/>
      <c r="I3" s="1553"/>
    </row>
    <row r="4" spans="1:14" s="236" customFormat="1" ht="15.75" thickBot="1">
      <c r="A4" s="241" t="s">
        <v>44</v>
      </c>
      <c r="B4" s="241" t="s">
        <v>372</v>
      </c>
      <c r="C4" s="241" t="s">
        <v>373</v>
      </c>
      <c r="D4" s="241" t="s">
        <v>374</v>
      </c>
      <c r="E4" s="241" t="s">
        <v>375</v>
      </c>
      <c r="F4" s="241" t="s">
        <v>376</v>
      </c>
      <c r="G4" s="241" t="s">
        <v>377</v>
      </c>
      <c r="H4" s="242" t="s">
        <v>378</v>
      </c>
      <c r="I4" s="241" t="s">
        <v>380</v>
      </c>
    </row>
    <row r="5" spans="1:14" s="236" customFormat="1">
      <c r="A5" s="265">
        <f>'DataBase (IMO form)'!B8</f>
        <v>1</v>
      </c>
      <c r="B5" s="245" t="str">
        <f>'DataBase (IMO form)'!D8</f>
        <v xml:space="preserve">WENDT </v>
      </c>
      <c r="C5" s="245" t="str">
        <f>'DataBase (IMO form)'!E8</f>
        <v>ROBERT KRZYSZTOF</v>
      </c>
      <c r="D5" s="246" t="str">
        <f>'DataBase (IMO form)'!C8</f>
        <v>MASTER</v>
      </c>
      <c r="E5" s="246" t="str">
        <f>'DataBase (IMO form)'!L8</f>
        <v>POLISH</v>
      </c>
      <c r="F5" s="243">
        <f>'DataBase (IMO form)'!I8</f>
        <v>31616</v>
      </c>
      <c r="G5" s="245" t="str">
        <f>'DataBase (IMO form)'!K8</f>
        <v>GDANSK</v>
      </c>
      <c r="H5" s="281" t="s">
        <v>416</v>
      </c>
      <c r="I5" s="282">
        <v>2</v>
      </c>
    </row>
    <row r="6" spans="1:14">
      <c r="A6" s="265">
        <f>'DataBase (IMO form)'!B9</f>
        <v>2</v>
      </c>
      <c r="B6" s="245" t="str">
        <f>'DataBase (IMO form)'!D9</f>
        <v>THANASIS</v>
      </c>
      <c r="C6" s="245" t="str">
        <f>'DataBase (IMO form)'!E9</f>
        <v>EVANGELOS</v>
      </c>
      <c r="D6" s="246" t="str">
        <f>'DataBase (IMO form)'!C9</f>
        <v>CHIEF OFF</v>
      </c>
      <c r="E6" s="246" t="str">
        <f>'DataBase (IMO form)'!L9</f>
        <v>HELLENIC</v>
      </c>
      <c r="F6" s="243">
        <f>'DataBase (IMO form)'!I9</f>
        <v>34373</v>
      </c>
      <c r="G6" s="245" t="str">
        <f>'DataBase (IMO form)'!K9</f>
        <v>KERKYRA</v>
      </c>
      <c r="H6" s="281" t="s">
        <v>416</v>
      </c>
      <c r="I6" s="282">
        <v>3</v>
      </c>
    </row>
    <row r="7" spans="1:14" s="238" customFormat="1">
      <c r="A7" s="265">
        <f>'DataBase (IMO form)'!B11</f>
        <v>4</v>
      </c>
      <c r="B7" s="245" t="str">
        <f>'DataBase (IMO form)'!D11</f>
        <v>BUTS</v>
      </c>
      <c r="C7" s="245" t="str">
        <f>'DataBase (IMO form)'!E11</f>
        <v>KOSTIANTYN</v>
      </c>
      <c r="D7" s="246" t="str">
        <f>'DataBase (IMO form)'!C11</f>
        <v>2ND OFF</v>
      </c>
      <c r="E7" s="246" t="str">
        <f>'DataBase (IMO form)'!L11</f>
        <v>UKRAINIAN</v>
      </c>
      <c r="F7" s="243">
        <f>'DataBase (IMO form)'!I11</f>
        <v>31971</v>
      </c>
      <c r="G7" s="245" t="str">
        <f>'DataBase (IMO form)'!K11</f>
        <v>UKRAINE</v>
      </c>
      <c r="H7" s="281" t="s">
        <v>416</v>
      </c>
      <c r="I7" s="282">
        <v>4</v>
      </c>
    </row>
    <row r="8" spans="1:14">
      <c r="A8" s="265">
        <f>'DataBase (IMO form)'!B12</f>
        <v>5</v>
      </c>
      <c r="B8" s="245" t="str">
        <f>'DataBase (IMO form)'!D12</f>
        <v xml:space="preserve">STAMATIOU </v>
      </c>
      <c r="C8" s="245" t="str">
        <f>'DataBase (IMO form)'!E12</f>
        <v>VASILEIOS</v>
      </c>
      <c r="D8" s="246" t="str">
        <f>'DataBase (IMO form)'!C12</f>
        <v>3RD OFF</v>
      </c>
      <c r="E8" s="246" t="str">
        <f>'DataBase (IMO form)'!L12</f>
        <v>HELLENIC</v>
      </c>
      <c r="F8" s="243">
        <f>'DataBase (IMO form)'!I12</f>
        <v>37225</v>
      </c>
      <c r="G8" s="245" t="str">
        <f>'DataBase (IMO form)'!K12</f>
        <v>MAROUSI</v>
      </c>
      <c r="H8" s="281" t="s">
        <v>416</v>
      </c>
      <c r="I8" s="282">
        <v>3</v>
      </c>
    </row>
    <row r="9" spans="1:14" s="239" customFormat="1">
      <c r="A9" s="265">
        <f>'DataBase (IMO form)'!B13</f>
        <v>6</v>
      </c>
      <c r="B9" s="245" t="str">
        <f>'DataBase (IMO form)'!D13</f>
        <v>KOUIMOV</v>
      </c>
      <c r="C9" s="245" t="str">
        <f>'DataBase (IMO form)'!E13</f>
        <v>ENTOUARNT OR EDUARD</v>
      </c>
      <c r="D9" s="246" t="str">
        <f>'DataBase (IMO form)'!C13</f>
        <v xml:space="preserve">3RD OFF </v>
      </c>
      <c r="E9" s="246" t="str">
        <f>'DataBase (IMO form)'!L13</f>
        <v>HELLENIC</v>
      </c>
      <c r="F9" s="243">
        <f>'DataBase (IMO form)'!I13</f>
        <v>36547</v>
      </c>
      <c r="G9" s="245" t="str">
        <f>'DataBase (IMO form)'!K13</f>
        <v>NAKHODKA</v>
      </c>
      <c r="H9" s="281" t="s">
        <v>416</v>
      </c>
      <c r="I9" s="282">
        <v>3</v>
      </c>
    </row>
    <row r="10" spans="1:14">
      <c r="A10" s="265">
        <f>'DataBase (IMO form)'!B14</f>
        <v>7</v>
      </c>
      <c r="B10" s="245" t="str">
        <f>'DataBase (IMO form)'!D14</f>
        <v>CHATZIDIMITRIOU</v>
      </c>
      <c r="C10" s="245" t="str">
        <f>'DataBase (IMO form)'!E14</f>
        <v>MARIA</v>
      </c>
      <c r="D10" s="246" t="str">
        <f>'DataBase (IMO form)'!C14</f>
        <v>DECK CADET</v>
      </c>
      <c r="E10" s="246" t="str">
        <f>'DataBase (IMO form)'!L14</f>
        <v>HELLENIC</v>
      </c>
      <c r="F10" s="243">
        <f>'DataBase (IMO form)'!I14</f>
        <v>37644</v>
      </c>
      <c r="G10" s="245" t="str">
        <f>'DataBase (IMO form)'!K14</f>
        <v>THESSALONIKI</v>
      </c>
      <c r="H10" s="281" t="s">
        <v>416</v>
      </c>
      <c r="I10" s="282">
        <v>2</v>
      </c>
    </row>
    <row r="11" spans="1:14" s="240" customFormat="1">
      <c r="A11" s="265">
        <f>'DataBase (IMO form)'!B15</f>
        <v>8</v>
      </c>
      <c r="B11" s="245" t="str">
        <f>'DataBase (IMO form)'!D15</f>
        <v xml:space="preserve">PETROPOULOS </v>
      </c>
      <c r="C11" s="245" t="str">
        <f>'DataBase (IMO form)'!E15</f>
        <v>CHRISTOS</v>
      </c>
      <c r="D11" s="246" t="str">
        <f>'DataBase (IMO form)'!C15</f>
        <v>CHIEF ENG</v>
      </c>
      <c r="E11" s="246" t="str">
        <f>'DataBase (IMO form)'!L15</f>
        <v>HELLENIC</v>
      </c>
      <c r="F11" s="243">
        <f>'DataBase (IMO form)'!I15</f>
        <v>24483</v>
      </c>
      <c r="G11" s="245" t="str">
        <f>'DataBase (IMO form)'!K15</f>
        <v>KOZANI</v>
      </c>
      <c r="H11" s="281" t="s">
        <v>416</v>
      </c>
      <c r="I11" s="282">
        <v>3</v>
      </c>
    </row>
    <row r="12" spans="1:14">
      <c r="A12" s="265">
        <f>'DataBase (IMO form)'!B16</f>
        <v>9</v>
      </c>
      <c r="B12" s="245" t="str">
        <f>'DataBase (IMO form)'!D16</f>
        <v>SYTNYK</v>
      </c>
      <c r="C12" s="245" t="str">
        <f>'DataBase (IMO form)'!E16</f>
        <v xml:space="preserve">YEVGENIY </v>
      </c>
      <c r="D12" s="246" t="str">
        <f>'DataBase (IMO form)'!C16</f>
        <v>2ND ENG</v>
      </c>
      <c r="E12" s="246" t="str">
        <f>'DataBase (IMO form)'!L16</f>
        <v xml:space="preserve">UKRAINIAN </v>
      </c>
      <c r="F12" s="243">
        <f>'DataBase (IMO form)'!I16</f>
        <v>32852</v>
      </c>
      <c r="G12" s="245" t="str">
        <f>'DataBase (IMO form)'!K16</f>
        <v>ODESSA</v>
      </c>
      <c r="H12" s="281" t="s">
        <v>416</v>
      </c>
      <c r="I12" s="282">
        <v>3</v>
      </c>
    </row>
    <row r="13" spans="1:14" s="240" customFormat="1">
      <c r="A13" s="265">
        <f>'DataBase (IMO form)'!B17</f>
        <v>10</v>
      </c>
      <c r="B13" s="245" t="str">
        <f>'DataBase (IMO form)'!D17</f>
        <v>KACHUR</v>
      </c>
      <c r="C13" s="245" t="str">
        <f>'DataBase (IMO form)'!E17</f>
        <v>MYKOLA</v>
      </c>
      <c r="D13" s="246" t="str">
        <f>'DataBase (IMO form)'!C17</f>
        <v>3RD ENG</v>
      </c>
      <c r="E13" s="246" t="str">
        <f>'DataBase (IMO form)'!L17</f>
        <v>UKRAINIAN</v>
      </c>
      <c r="F13" s="243">
        <f>'DataBase (IMO form)'!I17</f>
        <v>35418</v>
      </c>
      <c r="G13" s="245" t="str">
        <f>'DataBase (IMO form)'!K17</f>
        <v>UKRAINE</v>
      </c>
      <c r="H13" s="281" t="s">
        <v>416</v>
      </c>
      <c r="I13" s="282">
        <v>2</v>
      </c>
      <c r="N13" s="237"/>
    </row>
    <row r="14" spans="1:14" s="238" customFormat="1">
      <c r="A14" s="265">
        <f>'DataBase (IMO form)'!B18</f>
        <v>11</v>
      </c>
      <c r="B14" s="245" t="e">
        <f>'DataBase (IMO form)'!#REF!</f>
        <v>#REF!</v>
      </c>
      <c r="C14" s="245" t="e">
        <f>'DataBase (IMO form)'!#REF!</f>
        <v>#REF!</v>
      </c>
      <c r="D14" s="246" t="str">
        <f>'DataBase (IMO form)'!C18</f>
        <v>3RD ENG</v>
      </c>
      <c r="E14" s="246" t="e">
        <f>'DataBase (IMO form)'!#REF!</f>
        <v>#REF!</v>
      </c>
      <c r="F14" s="243" t="e">
        <f>'DataBase (IMO form)'!#REF!</f>
        <v>#REF!</v>
      </c>
      <c r="G14" s="245" t="e">
        <f>'DataBase (IMO form)'!#REF!</f>
        <v>#REF!</v>
      </c>
      <c r="H14" s="281" t="s">
        <v>416</v>
      </c>
      <c r="I14" s="282">
        <v>3</v>
      </c>
      <c r="N14" s="235"/>
    </row>
    <row r="15" spans="1:14" s="239" customFormat="1">
      <c r="A15" s="265" t="e">
        <f>'DataBase (IMO form)'!#REF!</f>
        <v>#REF!</v>
      </c>
      <c r="B15" s="245" t="e">
        <f>'DataBase (IMO form)'!#REF!</f>
        <v>#REF!</v>
      </c>
      <c r="C15" s="245" t="e">
        <f>'DataBase (IMO form)'!#REF!</f>
        <v>#REF!</v>
      </c>
      <c r="D15" s="246" t="e">
        <f>'DataBase (IMO form)'!#REF!</f>
        <v>#REF!</v>
      </c>
      <c r="E15" s="246" t="e">
        <f>'DataBase (IMO form)'!#REF!</f>
        <v>#REF!</v>
      </c>
      <c r="F15" s="243" t="e">
        <f>'DataBase (IMO form)'!#REF!</f>
        <v>#REF!</v>
      </c>
      <c r="G15" s="245" t="e">
        <f>'DataBase (IMO form)'!#REF!</f>
        <v>#REF!</v>
      </c>
      <c r="H15" s="281" t="s">
        <v>416</v>
      </c>
      <c r="I15" s="282">
        <v>2</v>
      </c>
    </row>
    <row r="16" spans="1:14" s="238" customFormat="1">
      <c r="A16" s="265">
        <f>'DataBase (IMO form)'!B20</f>
        <v>13</v>
      </c>
      <c r="B16" s="245" t="str">
        <f>'DataBase (IMO form)'!D20</f>
        <v>YEMELIANOV</v>
      </c>
      <c r="C16" s="245" t="str">
        <f>'DataBase (IMO form)'!E20</f>
        <v>RICHARD</v>
      </c>
      <c r="D16" s="246" t="str">
        <f>'DataBase (IMO form)'!C20</f>
        <v xml:space="preserve">GAS ENG </v>
      </c>
      <c r="E16" s="246" t="str">
        <f>'DataBase (IMO form)'!L20</f>
        <v>UKRAINIAN</v>
      </c>
      <c r="F16" s="243">
        <f>'DataBase (IMO form)'!I20</f>
        <v>32955</v>
      </c>
      <c r="G16" s="245" t="str">
        <f>'DataBase (IMO form)'!K20</f>
        <v>UKRAINE</v>
      </c>
      <c r="H16" s="281" t="s">
        <v>416</v>
      </c>
      <c r="I16" s="282">
        <v>3</v>
      </c>
    </row>
    <row r="17" spans="1:9">
      <c r="A17" s="265">
        <f>'DataBase (IMO form)'!B21</f>
        <v>14</v>
      </c>
      <c r="B17" s="245" t="str">
        <f>'DataBase (IMO form)'!D21</f>
        <v>GIDEI</v>
      </c>
      <c r="C17" s="245" t="str">
        <f>'DataBase (IMO form)'!E21</f>
        <v>NICOLAE</v>
      </c>
      <c r="D17" s="246" t="str">
        <f>'DataBase (IMO form)'!C21</f>
        <v>SETO</v>
      </c>
      <c r="E17" s="246" t="str">
        <f>'DataBase (IMO form)'!L21</f>
        <v>ROMANIAN</v>
      </c>
      <c r="F17" s="243">
        <f>'DataBase (IMO form)'!I21</f>
        <v>27720</v>
      </c>
      <c r="G17" s="245" t="str">
        <f>'DataBase (IMO form)'!K21</f>
        <v>GALATI</v>
      </c>
      <c r="H17" s="281" t="s">
        <v>416</v>
      </c>
      <c r="I17" s="282">
        <v>3</v>
      </c>
    </row>
    <row r="18" spans="1:9">
      <c r="A18" s="265" t="e">
        <f>'DataBase (IMO form)'!#REF!</f>
        <v>#REF!</v>
      </c>
      <c r="B18" s="245" t="str">
        <f>'DataBase (IMO form)'!D18</f>
        <v>COLEASA</v>
      </c>
      <c r="C18" s="245" t="str">
        <f>'DataBase (IMO form)'!E18</f>
        <v>STEFAN  CIPRIAN</v>
      </c>
      <c r="D18" s="246" t="e">
        <f>'DataBase (IMO form)'!#REF!</f>
        <v>#REF!</v>
      </c>
      <c r="E18" s="246" t="str">
        <f>'DataBase (IMO form)'!L18</f>
        <v>ROMANIAN</v>
      </c>
      <c r="F18" s="243">
        <f>'DataBase (IMO form)'!I18</f>
        <v>33966</v>
      </c>
      <c r="G18" s="245" t="str">
        <f>'DataBase (IMO form)'!K18</f>
        <v>CONSTANTA</v>
      </c>
      <c r="H18" s="281" t="s">
        <v>416</v>
      </c>
      <c r="I18" s="282">
        <v>2</v>
      </c>
    </row>
    <row r="19" spans="1:9" s="239" customFormat="1">
      <c r="A19" s="265">
        <f>'DataBase (IMO form)'!B22</f>
        <v>15</v>
      </c>
      <c r="B19" s="245" t="str">
        <f>'DataBase (IMO form)'!D22</f>
        <v>LADINES</v>
      </c>
      <c r="C19" s="245" t="str">
        <f>'DataBase (IMO form)'!E22</f>
        <v>RODOLFO JR.</v>
      </c>
      <c r="D19" s="246" t="str">
        <f>'DataBase (IMO form)'!C22</f>
        <v>BOSUN</v>
      </c>
      <c r="E19" s="246" t="str">
        <f>'DataBase (IMO form)'!L22</f>
        <v>FILIPINO</v>
      </c>
      <c r="F19" s="243">
        <f>'DataBase (IMO form)'!I22</f>
        <v>29241</v>
      </c>
      <c r="G19" s="245" t="str">
        <f>'DataBase (IMO form)'!K22</f>
        <v>SAMPALOC QUEZON</v>
      </c>
      <c r="H19" s="281" t="s">
        <v>416</v>
      </c>
      <c r="I19" s="282">
        <v>3</v>
      </c>
    </row>
    <row r="20" spans="1:9">
      <c r="A20" s="265">
        <f>'DataBase (IMO form)'!B23</f>
        <v>16</v>
      </c>
      <c r="B20" s="245" t="str">
        <f>'DataBase (IMO form)'!D23</f>
        <v xml:space="preserve">LUPAZ </v>
      </c>
      <c r="C20" s="245" t="str">
        <f>'DataBase (IMO form)'!E23</f>
        <v>ALBERTO JR.</v>
      </c>
      <c r="D20" s="246" t="str">
        <f>'DataBase (IMO form)'!C23</f>
        <v>AB</v>
      </c>
      <c r="E20" s="246" t="str">
        <f>'DataBase (IMO form)'!L23</f>
        <v>FILIPINO</v>
      </c>
      <c r="F20" s="243">
        <f>'DataBase (IMO form)'!I23</f>
        <v>34168</v>
      </c>
      <c r="G20" s="245" t="str">
        <f>'DataBase (IMO form)'!K23</f>
        <v>NASIPIT AND</v>
      </c>
      <c r="H20" s="281" t="s">
        <v>416</v>
      </c>
      <c r="I20" s="282">
        <v>3</v>
      </c>
    </row>
    <row r="21" spans="1:9">
      <c r="A21" s="265">
        <f>'DataBase (IMO form)'!B24</f>
        <v>17</v>
      </c>
      <c r="B21" s="245" t="str">
        <f>'DataBase (IMO form)'!D24</f>
        <v xml:space="preserve">PALERACIO </v>
      </c>
      <c r="C21" s="245" t="str">
        <f>'DataBase (IMO form)'!E24</f>
        <v>JOHN CALLED</v>
      </c>
      <c r="D21" s="246" t="str">
        <f>'DataBase (IMO form)'!C24</f>
        <v>AB</v>
      </c>
      <c r="E21" s="246" t="str">
        <f>'DataBase (IMO form)'!L24</f>
        <v>FILIPINO</v>
      </c>
      <c r="F21" s="243">
        <f>'DataBase (IMO form)'!I24</f>
        <v>33759</v>
      </c>
      <c r="G21" s="245" t="str">
        <f>'DataBase (IMO form)'!K24</f>
        <v>SAMPALOC QUEZON</v>
      </c>
      <c r="H21" s="281" t="s">
        <v>416</v>
      </c>
      <c r="I21" s="282">
        <v>2</v>
      </c>
    </row>
    <row r="22" spans="1:9" s="237" customFormat="1">
      <c r="A22" s="265">
        <f>'DataBase (IMO form)'!B25</f>
        <v>18</v>
      </c>
      <c r="B22" s="245" t="str">
        <f>'DataBase (IMO form)'!D25</f>
        <v xml:space="preserve">RUFON </v>
      </c>
      <c r="C22" s="245" t="str">
        <f>'DataBase (IMO form)'!E25</f>
        <v>NOEL III</v>
      </c>
      <c r="D22" s="246" t="str">
        <f>'DataBase (IMO form)'!C25</f>
        <v>AB</v>
      </c>
      <c r="E22" s="246" t="str">
        <f>'DataBase (IMO form)'!L25</f>
        <v>FILIPINO</v>
      </c>
      <c r="F22" s="243">
        <f>'DataBase (IMO form)'!I25</f>
        <v>35899</v>
      </c>
      <c r="G22" s="245" t="str">
        <f>'DataBase (IMO form)'!K25</f>
        <v>QUEZON CITY</v>
      </c>
      <c r="H22" s="281" t="s">
        <v>416</v>
      </c>
      <c r="I22" s="282">
        <v>3</v>
      </c>
    </row>
    <row r="23" spans="1:9" s="237" customFormat="1">
      <c r="A23" s="265">
        <f>'DataBase (IMO form)'!B27</f>
        <v>20</v>
      </c>
      <c r="B23" s="245" t="str">
        <f>'DataBase (IMO form)'!D27</f>
        <v>ACULIT</v>
      </c>
      <c r="C23" s="245" t="str">
        <f>'DataBase (IMO form)'!E27</f>
        <v>MIKE LISLIE</v>
      </c>
      <c r="D23" s="246" t="str">
        <f>'DataBase (IMO form)'!C27</f>
        <v>OS</v>
      </c>
      <c r="E23" s="246" t="str">
        <f>'DataBase (IMO form)'!L27</f>
        <v>FILIPINO</v>
      </c>
      <c r="F23" s="243">
        <f>'DataBase (IMO form)'!I27</f>
        <v>35054</v>
      </c>
      <c r="G23" s="245" t="str">
        <f>'DataBase (IMO form)'!K27</f>
        <v>BAGO CITY</v>
      </c>
      <c r="H23" s="281" t="s">
        <v>416</v>
      </c>
      <c r="I23" s="282">
        <v>3</v>
      </c>
    </row>
    <row r="24" spans="1:9" s="237" customFormat="1">
      <c r="A24" s="265">
        <f>'DataBase (IMO form)'!B28</f>
        <v>21</v>
      </c>
      <c r="B24" s="245" t="str">
        <f>'DataBase (IMO form)'!D28</f>
        <v>DOMONDON</v>
      </c>
      <c r="C24" s="245" t="str">
        <f>'DataBase (IMO form)'!E28</f>
        <v>DEXTER</v>
      </c>
      <c r="D24" s="246" t="str">
        <f>'DataBase (IMO form)'!C28</f>
        <v>OS</v>
      </c>
      <c r="E24" s="246" t="str">
        <f>'DataBase (IMO form)'!L28</f>
        <v>FILIPINO</v>
      </c>
      <c r="F24" s="243">
        <f>'DataBase (IMO form)'!I28</f>
        <v>36084</v>
      </c>
      <c r="G24" s="245" t="str">
        <f>'DataBase (IMO form)'!K28</f>
        <v>MARIKINA CITY</v>
      </c>
      <c r="H24" s="281" t="s">
        <v>416</v>
      </c>
      <c r="I24" s="282">
        <v>2</v>
      </c>
    </row>
    <row r="25" spans="1:9" s="237" customFormat="1">
      <c r="A25" s="265">
        <f>'DataBase (IMO form)'!B29</f>
        <v>22</v>
      </c>
      <c r="B25" s="245" t="str">
        <f>'DataBase (IMO form)'!D29</f>
        <v>DACANAY</v>
      </c>
      <c r="C25" s="245" t="str">
        <f>'DataBase (IMO form)'!E29</f>
        <v>JAYSON</v>
      </c>
      <c r="D25" s="246" t="str">
        <f>'DataBase (IMO form)'!C29</f>
        <v>FITTER</v>
      </c>
      <c r="E25" s="246" t="str">
        <f>'DataBase (IMO form)'!L29</f>
        <v>FILIPINO</v>
      </c>
      <c r="F25" s="243">
        <f>'DataBase (IMO form)'!I29</f>
        <v>33621</v>
      </c>
      <c r="G25" s="245" t="str">
        <f>'DataBase (IMO form)'!K29</f>
        <v>SISON PANGASINAN</v>
      </c>
      <c r="H25" s="281" t="s">
        <v>416</v>
      </c>
      <c r="I25" s="282">
        <v>3</v>
      </c>
    </row>
    <row r="26" spans="1:9" s="237" customFormat="1">
      <c r="A26" s="265">
        <f>'DataBase (IMO form)'!B30</f>
        <v>23</v>
      </c>
      <c r="B26" s="245" t="str">
        <f>'DataBase (IMO form)'!D30</f>
        <v>APID</v>
      </c>
      <c r="C26" s="245" t="str">
        <f>'DataBase (IMO form)'!E30</f>
        <v>LORD BYRON</v>
      </c>
      <c r="D26" s="246" t="str">
        <f>'DataBase (IMO form)'!C30</f>
        <v>MTM</v>
      </c>
      <c r="E26" s="246" t="str">
        <f>'DataBase (IMO form)'!L30</f>
        <v>FILIPINO</v>
      </c>
      <c r="F26" s="243">
        <f>'DataBase (IMO form)'!I30</f>
        <v>32630</v>
      </c>
      <c r="G26" s="245" t="str">
        <f>'DataBase (IMO form)'!K30</f>
        <v>DIONISIO ILOILO</v>
      </c>
      <c r="H26" s="281" t="s">
        <v>416</v>
      </c>
      <c r="I26" s="282">
        <v>2</v>
      </c>
    </row>
    <row r="27" spans="1:9" s="237" customFormat="1">
      <c r="A27" s="265">
        <f>'DataBase (IMO form)'!B31</f>
        <v>24</v>
      </c>
      <c r="B27" s="245" t="str">
        <f>'DataBase (IMO form)'!D31</f>
        <v>BRILLANTES</v>
      </c>
      <c r="C27" s="245" t="str">
        <f>'DataBase (IMO form)'!E31</f>
        <v>FER ANN</v>
      </c>
      <c r="D27" s="246" t="str">
        <f>'DataBase (IMO form)'!C31</f>
        <v>MTM</v>
      </c>
      <c r="E27" s="246" t="str">
        <f>'DataBase (IMO form)'!L31</f>
        <v>FILIPINO</v>
      </c>
      <c r="F27" s="243">
        <f>'DataBase (IMO form)'!I31</f>
        <v>33831</v>
      </c>
      <c r="G27" s="245" t="str">
        <f>'DataBase (IMO form)'!K31</f>
        <v>ILOILO CITY</v>
      </c>
      <c r="H27" s="281" t="s">
        <v>416</v>
      </c>
      <c r="I27" s="282">
        <v>3</v>
      </c>
    </row>
    <row r="28" spans="1:9" s="237" customFormat="1">
      <c r="A28" s="265">
        <f>'DataBase (IMO form)'!B32</f>
        <v>25</v>
      </c>
      <c r="B28" s="245" t="str">
        <f>'DataBase (IMO form)'!D32</f>
        <v>FLORES</v>
      </c>
      <c r="C28" s="245" t="str">
        <f>'DataBase (IMO form)'!E32</f>
        <v>NORIEL</v>
      </c>
      <c r="D28" s="246" t="str">
        <f>'DataBase (IMO form)'!C32</f>
        <v>WIPER</v>
      </c>
      <c r="E28" s="246" t="str">
        <f>'DataBase (IMO form)'!L32</f>
        <v>FILIPINO</v>
      </c>
      <c r="F28" s="243">
        <f>'DataBase (IMO form)'!I32</f>
        <v>36550</v>
      </c>
      <c r="G28" s="245" t="str">
        <f>'DataBase (IMO form)'!K32</f>
        <v>P GALERA OR MDO</v>
      </c>
      <c r="H28" s="281" t="s">
        <v>416</v>
      </c>
      <c r="I28" s="282">
        <v>3</v>
      </c>
    </row>
    <row r="29" spans="1:9">
      <c r="A29" s="265">
        <f>'DataBase (IMO form)'!B33</f>
        <v>26</v>
      </c>
      <c r="B29" s="245" t="str">
        <f>'DataBase (IMO form)'!D33</f>
        <v>ESTRABELA</v>
      </c>
      <c r="C29" s="245" t="str">
        <f>'DataBase (IMO form)'!E33</f>
        <v>ARIES</v>
      </c>
      <c r="D29" s="246" t="str">
        <f>'DataBase (IMO form)'!C33</f>
        <v>CHIEF COOK</v>
      </c>
      <c r="E29" s="246" t="str">
        <f>'DataBase (IMO form)'!L33</f>
        <v>FILIPINO</v>
      </c>
      <c r="F29" s="243">
        <f>'DataBase (IMO form)'!I33</f>
        <v>34876</v>
      </c>
      <c r="G29" s="245" t="str">
        <f>'DataBase (IMO form)'!K33</f>
        <v>BARCELONA SSG</v>
      </c>
      <c r="H29" s="281" t="s">
        <v>416</v>
      </c>
      <c r="I29" s="282">
        <v>2</v>
      </c>
    </row>
    <row r="30" spans="1:9">
      <c r="A30" s="265">
        <f>'DataBase (IMO form)'!B34</f>
        <v>27</v>
      </c>
      <c r="B30" s="245" t="str">
        <f>'DataBase (IMO form)'!D34</f>
        <v>ALLADO</v>
      </c>
      <c r="C30" s="245" t="str">
        <f>'DataBase (IMO form)'!E34</f>
        <v>KEITH VINCENT</v>
      </c>
      <c r="D30" s="246" t="str">
        <f>'DataBase (IMO form)'!C34</f>
        <v>ASS COOK</v>
      </c>
      <c r="E30" s="246" t="str">
        <f>'DataBase (IMO form)'!L34</f>
        <v>FILIPINO</v>
      </c>
      <c r="F30" s="243">
        <f>'DataBase (IMO form)'!I34</f>
        <v>34074</v>
      </c>
      <c r="G30" s="245" t="str">
        <f>'DataBase (IMO form)'!K34</f>
        <v>SAMPALOC QUEZON</v>
      </c>
      <c r="H30" s="281" t="s">
        <v>416</v>
      </c>
      <c r="I30" s="282">
        <v>3</v>
      </c>
    </row>
    <row r="31" spans="1:9">
      <c r="A31" s="265">
        <f>'DataBase (IMO form)'!B35</f>
        <v>28</v>
      </c>
      <c r="B31" s="245" t="str">
        <f>'DataBase (IMO form)'!D35</f>
        <v>ABES</v>
      </c>
      <c r="C31" s="245" t="str">
        <f>'DataBase (IMO form)'!E35</f>
        <v>JAMES DARWIN</v>
      </c>
      <c r="D31" s="246" t="str">
        <f>'DataBase (IMO form)'!C35</f>
        <v>MSM</v>
      </c>
      <c r="E31" s="246" t="str">
        <f>'DataBase (IMO form)'!L35</f>
        <v>FILIPINO</v>
      </c>
      <c r="F31" s="243">
        <f>'DataBase (IMO form)'!I35</f>
        <v>36409</v>
      </c>
      <c r="G31" s="245" t="str">
        <f>'DataBase (IMO form)'!K35</f>
        <v>GITAGUM MIS OR</v>
      </c>
      <c r="H31" s="281" t="s">
        <v>416</v>
      </c>
      <c r="I31" s="282">
        <v>3</v>
      </c>
    </row>
    <row r="32" spans="1:9" hidden="1">
      <c r="A32" s="265" t="e">
        <f>'DataBase (IMO form)'!#REF!</f>
        <v>#REF!</v>
      </c>
      <c r="B32" s="245" t="e">
        <f>'DataBase (IMO form)'!#REF!</f>
        <v>#REF!</v>
      </c>
      <c r="C32" s="245" t="e">
        <f>'DataBase (IMO form)'!#REF!</f>
        <v>#REF!</v>
      </c>
      <c r="D32" s="246" t="e">
        <f>'DataBase (IMO form)'!#REF!</f>
        <v>#REF!</v>
      </c>
      <c r="E32" s="246" t="e">
        <f>'DataBase (IMO form)'!#REF!</f>
        <v>#REF!</v>
      </c>
      <c r="F32" s="243" t="e">
        <f>'DataBase (IMO form)'!#REF!</f>
        <v>#REF!</v>
      </c>
      <c r="G32" s="245" t="e">
        <f>'DataBase (IMO form)'!#REF!</f>
        <v>#REF!</v>
      </c>
      <c r="H32" s="281" t="s">
        <v>416</v>
      </c>
      <c r="I32" s="282">
        <v>2</v>
      </c>
    </row>
    <row r="33" spans="1:9" hidden="1">
      <c r="A33" s="265" t="e">
        <f>'DataBase (IMO form)'!#REF!</f>
        <v>#REF!</v>
      </c>
      <c r="B33" s="245" t="e">
        <f>'DataBase (IMO form)'!#REF!</f>
        <v>#REF!</v>
      </c>
      <c r="C33" s="245" t="e">
        <f>'DataBase (IMO form)'!#REF!</f>
        <v>#REF!</v>
      </c>
      <c r="D33" s="246" t="e">
        <f>'DataBase (IMO form)'!#REF!</f>
        <v>#REF!</v>
      </c>
      <c r="E33" s="246" t="e">
        <f>'DataBase (IMO form)'!#REF!</f>
        <v>#REF!</v>
      </c>
      <c r="F33" s="243" t="e">
        <f>'DataBase (IMO form)'!#REF!</f>
        <v>#REF!</v>
      </c>
      <c r="G33" s="245" t="e">
        <f>'DataBase (IMO form)'!#REF!</f>
        <v>#REF!</v>
      </c>
      <c r="H33" s="281" t="s">
        <v>416</v>
      </c>
      <c r="I33" s="282">
        <v>2</v>
      </c>
    </row>
    <row r="34" spans="1:9" hidden="1">
      <c r="A34" s="265" t="e">
        <f>'DataBase (IMO form)'!#REF!</f>
        <v>#REF!</v>
      </c>
      <c r="B34" s="245" t="e">
        <f>'DataBase (IMO form)'!#REF!</f>
        <v>#REF!</v>
      </c>
      <c r="C34" s="245" t="e">
        <f>'DataBase (IMO form)'!#REF!</f>
        <v>#REF!</v>
      </c>
      <c r="D34" s="246" t="e">
        <f>'DataBase (IMO form)'!#REF!</f>
        <v>#REF!</v>
      </c>
      <c r="E34" s="246" t="e">
        <f>'DataBase (IMO form)'!#REF!</f>
        <v>#REF!</v>
      </c>
      <c r="F34" s="243" t="e">
        <f>'DataBase (IMO form)'!#REF!</f>
        <v>#REF!</v>
      </c>
      <c r="G34" s="245" t="e">
        <f>'DataBase (IMO form)'!#REF!</f>
        <v>#REF!</v>
      </c>
      <c r="H34" s="281" t="s">
        <v>416</v>
      </c>
      <c r="I34" s="282">
        <v>2</v>
      </c>
    </row>
    <row r="35" spans="1:9" hidden="1">
      <c r="A35" s="265" t="e">
        <f>'DataBase (IMO form)'!#REF!</f>
        <v>#REF!</v>
      </c>
      <c r="B35" s="245" t="e">
        <f>'DataBase (IMO form)'!#REF!</f>
        <v>#REF!</v>
      </c>
      <c r="C35" s="245" t="e">
        <f>'DataBase (IMO form)'!#REF!</f>
        <v>#REF!</v>
      </c>
      <c r="D35" s="246" t="e">
        <f>'DataBase (IMO form)'!#REF!</f>
        <v>#REF!</v>
      </c>
      <c r="E35" s="246" t="e">
        <f>'DataBase (IMO form)'!#REF!</f>
        <v>#REF!</v>
      </c>
      <c r="F35" s="243" t="e">
        <f>'DataBase (IMO form)'!#REF!</f>
        <v>#REF!</v>
      </c>
      <c r="G35" s="245" t="e">
        <f>'DataBase (IMO form)'!#REF!</f>
        <v>#REF!</v>
      </c>
      <c r="H35" s="281" t="s">
        <v>416</v>
      </c>
      <c r="I35" s="282">
        <v>2</v>
      </c>
    </row>
    <row r="36" spans="1:9" hidden="1">
      <c r="A36" s="265" t="e">
        <f>'DataBase (IMO form)'!#REF!</f>
        <v>#REF!</v>
      </c>
      <c r="B36" s="245" t="e">
        <f>'DataBase (IMO form)'!#REF!</f>
        <v>#REF!</v>
      </c>
      <c r="C36" s="245" t="e">
        <f>'DataBase (IMO form)'!#REF!</f>
        <v>#REF!</v>
      </c>
      <c r="D36" s="246" t="e">
        <f>'DataBase (IMO form)'!#REF!</f>
        <v>#REF!</v>
      </c>
      <c r="E36" s="246" t="e">
        <f>'DataBase (IMO form)'!#REF!</f>
        <v>#REF!</v>
      </c>
      <c r="F36" s="243" t="e">
        <f>'DataBase (IMO form)'!#REF!</f>
        <v>#REF!</v>
      </c>
      <c r="G36" s="245" t="e">
        <f>'DataBase (IMO form)'!#REF!</f>
        <v>#REF!</v>
      </c>
      <c r="H36" s="281" t="s">
        <v>416</v>
      </c>
      <c r="I36" s="282">
        <v>2</v>
      </c>
    </row>
    <row r="37" spans="1:9" hidden="1">
      <c r="A37" s="265" t="e">
        <f>'DataBase (IMO form)'!#REF!</f>
        <v>#REF!</v>
      </c>
      <c r="B37" s="245" t="e">
        <f>'DataBase (IMO form)'!#REF!</f>
        <v>#REF!</v>
      </c>
      <c r="C37" s="245" t="e">
        <f>'DataBase (IMO form)'!#REF!</f>
        <v>#REF!</v>
      </c>
      <c r="D37" s="246" t="e">
        <f>'DataBase (IMO form)'!#REF!</f>
        <v>#REF!</v>
      </c>
      <c r="E37" s="246" t="e">
        <f>'DataBase (IMO form)'!#REF!</f>
        <v>#REF!</v>
      </c>
      <c r="F37" s="243" t="e">
        <f>'DataBase (IMO form)'!#REF!</f>
        <v>#REF!</v>
      </c>
      <c r="G37" s="245" t="e">
        <f>'DataBase (IMO form)'!#REF!</f>
        <v>#REF!</v>
      </c>
      <c r="H37" s="281" t="s">
        <v>416</v>
      </c>
      <c r="I37" s="282">
        <v>2</v>
      </c>
    </row>
    <row r="38" spans="1:9" hidden="1">
      <c r="A38" s="265" t="e">
        <f>'DataBase (IMO form)'!#REF!</f>
        <v>#REF!</v>
      </c>
      <c r="B38" s="245" t="e">
        <f>'DataBase (IMO form)'!#REF!</f>
        <v>#REF!</v>
      </c>
      <c r="C38" s="245" t="e">
        <f>'DataBase (IMO form)'!#REF!</f>
        <v>#REF!</v>
      </c>
      <c r="D38" s="246" t="e">
        <f>'DataBase (IMO form)'!#REF!</f>
        <v>#REF!</v>
      </c>
      <c r="E38" s="246" t="e">
        <f>'DataBase (IMO form)'!#REF!</f>
        <v>#REF!</v>
      </c>
      <c r="F38" s="243" t="e">
        <f>'DataBase (IMO form)'!#REF!</f>
        <v>#REF!</v>
      </c>
      <c r="G38" s="245" t="e">
        <f>'DataBase (IMO form)'!#REF!</f>
        <v>#REF!</v>
      </c>
      <c r="H38" s="281" t="s">
        <v>416</v>
      </c>
      <c r="I38" s="282">
        <v>2</v>
      </c>
    </row>
    <row r="39" spans="1:9">
      <c r="B39" s="247"/>
      <c r="C39" s="247"/>
    </row>
    <row r="40" spans="1:9">
      <c r="B40" s="236"/>
      <c r="G40" s="1554" t="str">
        <f>M.Menu!S15</f>
        <v>CAPT. WENDT ROBERT</v>
      </c>
      <c r="H40" s="1555"/>
    </row>
    <row r="41" spans="1:9">
      <c r="G41" s="1556" t="s">
        <v>298</v>
      </c>
      <c r="H41" s="1555"/>
    </row>
  </sheetData>
  <mergeCells count="4">
    <mergeCell ref="A1:I2"/>
    <mergeCell ref="A3:I3"/>
    <mergeCell ref="G40:H40"/>
    <mergeCell ref="G41:H41"/>
  </mergeCells>
  <printOptions horizontalCentered="1" verticalCentered="1" gridLines="1"/>
  <pageMargins left="0.51181102362204722" right="0.51181102362204722" top="0.55118110236220474" bottom="0.55118110236220474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M.Menu</vt:lpstr>
      <vt:lpstr>DataBase (IMO form)</vt:lpstr>
      <vt:lpstr>Arr Crew List IMO</vt:lpstr>
      <vt:lpstr>Arr Crew List Port</vt:lpstr>
      <vt:lpstr>Arr Crew List National SB</vt:lpstr>
      <vt:lpstr>Arr Crew List Marshall SB</vt:lpstr>
      <vt:lpstr>Dep CrewList IMO</vt:lpstr>
      <vt:lpstr>MDoH</vt:lpstr>
      <vt:lpstr>MDoH Att_1</vt:lpstr>
      <vt:lpstr>Narcotics</vt:lpstr>
      <vt:lpstr>Passenger List IMO</vt:lpstr>
      <vt:lpstr>ListofPort</vt:lpstr>
      <vt:lpstr>List of Last 10 Port of Calls</vt:lpstr>
      <vt:lpstr>NIL-List</vt:lpstr>
      <vt:lpstr>NIL-Cargo manifest</vt:lpstr>
      <vt:lpstr>Crew Effect Declaration</vt:lpstr>
      <vt:lpstr>CrewMoneyDec</vt:lpstr>
      <vt:lpstr>ShipsMoneyDec Arr</vt:lpstr>
      <vt:lpstr>Bonded Store</vt:lpstr>
      <vt:lpstr>Ships Stores Declaration</vt:lpstr>
      <vt:lpstr>Vaccine Yellow Fever</vt:lpstr>
      <vt:lpstr>ShipsProps</vt:lpstr>
      <vt:lpstr>Arm&amp;Ammu</vt:lpstr>
      <vt:lpstr>Dangerous Good Manifest IMO </vt:lpstr>
      <vt:lpstr>Covid Vaccine</vt:lpstr>
      <vt:lpstr>GALVESTON</vt:lpstr>
      <vt:lpstr>'Arm&amp;Ammu'!Print_Area</vt:lpstr>
      <vt:lpstr>'Arr Crew List IMO'!Print_Area</vt:lpstr>
      <vt:lpstr>'Arr Crew List Marshall SB'!Print_Area</vt:lpstr>
      <vt:lpstr>'Arr Crew List National SB'!Print_Area</vt:lpstr>
      <vt:lpstr>'Arr Crew List Port'!Print_Area</vt:lpstr>
      <vt:lpstr>'Bonded Store'!Print_Area</vt:lpstr>
      <vt:lpstr>'Crew Effect Declaration'!Print_Area</vt:lpstr>
      <vt:lpstr>CrewMoneyDec!Print_Area</vt:lpstr>
      <vt:lpstr>'Dangerous Good Manifest IMO '!Print_Area</vt:lpstr>
      <vt:lpstr>'DataBase (IMO form)'!Print_Area</vt:lpstr>
      <vt:lpstr>'Dep CrewList IMO'!Print_Area</vt:lpstr>
      <vt:lpstr>'List of Last 10 Port of Calls'!Print_Area</vt:lpstr>
      <vt:lpstr>ListofPort!Print_Area</vt:lpstr>
      <vt:lpstr>M.Menu!Print_Area</vt:lpstr>
      <vt:lpstr>MDoH!Print_Area</vt:lpstr>
      <vt:lpstr>'NIL-Cargo manifest'!Print_Area</vt:lpstr>
      <vt:lpstr>'NIL-List'!Print_Area</vt:lpstr>
      <vt:lpstr>'Passenger List IMO'!Print_Area</vt:lpstr>
      <vt:lpstr>'Ships Stores Declaration'!Print_Area</vt:lpstr>
      <vt:lpstr>'ShipsMoneyDec Arr'!Print_Area</vt:lpstr>
      <vt:lpstr>ShipsProps!Print_Area</vt:lpstr>
      <vt:lpstr>'Vaccine Yellow Fever'!Print_Area</vt:lpstr>
      <vt:lpstr>'DataBase (IMO form)'!Print_Titles</vt:lpstr>
    </vt:vector>
  </TitlesOfParts>
  <Company>DONNELLY TANKER MANAGEMENT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</dc:creator>
  <cp:lastModifiedBy>bridge</cp:lastModifiedBy>
  <cp:lastPrinted>2026-03-17T15:06:07Z</cp:lastPrinted>
  <dcterms:created xsi:type="dcterms:W3CDTF">2006-06-22T13:26:03Z</dcterms:created>
  <dcterms:modified xsi:type="dcterms:W3CDTF">2026-03-19T04:10:16Z</dcterms:modified>
</cp:coreProperties>
</file>